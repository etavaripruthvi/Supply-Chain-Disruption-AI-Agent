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Assumptions" sheetId="3" state="visible" r:id="rId5"/>
    <sheet name="Products" sheetId="4" state="visible" r:id="rId6"/>
    <sheet name="RawMaterials" sheetId="5" state="visible" r:id="rId7"/>
    <sheet name="Suppliers" sheetId="6" state="visible" r:id="rId8"/>
    <sheet name="Sourcing" sheetId="7" state="visible" r:id="rId9"/>
    <sheet name="BOM" sheetId="8" state="visible" r:id="rId10"/>
    <sheet name="WorkCentres" sheetId="9" state="visible" r:id="rId11"/>
    <sheet name="Routing" sheetId="10" state="visible" r:id="rId12"/>
    <sheet name="BOM_Matrix" sheetId="11" state="visible" r:id="rId13"/>
    <sheet name="Demand_Plan" sheetId="12" state="visible" r:id="rId14"/>
    <sheet name="MRP" sheetId="13" state="visible" r:id="rId15"/>
    <sheet name="Capacity" sheetId="14" state="visible" r:id="rId16"/>
    <sheet name="Inventory" sheetId="15" state="visible" r:id="rId17"/>
    <sheet name="Spend" sheetId="16" state="visible" r:id="rId18"/>
    <sheet name="Checks" sheetId="17" state="visible" r:id="rId19"/>
  </sheets>
  <definedNames>
    <definedName function="false" hidden="true" localSheetId="7" name="_xlnm._FilterDatabase" vbProcedure="false">BOM!$A$1:$M$103</definedName>
    <definedName function="false" hidden="false" localSheetId="1" name="_xlnm.Print_Area" vbProcedure="false">Dashboard!$A$1:$O$86</definedName>
    <definedName function="false" hidden="true" localSheetId="3" name="_xlnm._FilterDatabase" vbProcedure="false">Products!$A$1:$U$16</definedName>
    <definedName function="false" hidden="true" localSheetId="4" name="_xlnm._FilterDatabase" vbProcedure="false">RawMaterials!$A$1:$T$11</definedName>
    <definedName function="false" hidden="true" localSheetId="6" name="_xlnm._FilterDatabase" vbProcedure="false">Sourcing!$A$1:$O$19</definedName>
    <definedName function="false" hidden="true" localSheetId="5" name="_xlnm._FilterDatabase" vbProcedure="false">Suppliers!$A$1:$U$11</definedName>
    <definedName function="false" hidden="true" localSheetId="8" name="_xlnm._FilterDatabase" vbProcedure="false">WorkCentres!$A$1:$N$10</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Input. Work-centre ID of the final-assembly line that builds this product (WC06, WC07 or WC08).</t>
        </r>
      </text>
    </comment>
    <comment ref="O1" authorId="0">
      <text>
        <r>
          <rPr>
            <sz val="10"/>
            <rFont val="Arial"/>
            <family val="2"/>
          </rPr>
          <t xml:space="preserve">Input. Planning ex-factory price (before GST) set from base-case standard cost at a target margin and rounded to ₹5.</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Scenario lever. Enter +15% to see a 15% price rise for that material flow through BOM cost, margins and spend.</t>
        </r>
      </text>
    </comment>
    <comment ref="I1" authorId="0">
      <text>
        <r>
          <rPr>
            <sz val="10"/>
            <rFont val="Arial"/>
            <family val="2"/>
          </rPr>
          <t xml:space="preserve">Yield = net kg that ends up in the product / gross kg issued to the shop floor. Gross = net / yield. The difference is trimming, runners, drops or cut-offs (scrap).</t>
        </r>
      </text>
    </comment>
    <comment ref="L1" authorId="0">
      <text>
        <r>
          <rPr>
            <sz val="10"/>
            <rFont val="Arial"/>
            <family val="2"/>
          </rPr>
          <t xml:space="preserve">Formula. The minimum order quantity of the material's primary (or sole) source is used as the standard order multiple.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Input. Net kg of the raw material that ends up inside ONE finished unit (engineering estimate).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OEE = availability x performance x quality. Used here as a single factor that converts scheduled hours into effective output hours.</t>
        </r>
      </text>
    </comment>
  </commentList>
</comments>
</file>

<file path=xl/sharedStrings.xml><?xml version="1.0" encoding="utf-8"?>
<sst xmlns="http://schemas.openxmlformats.org/spreadsheetml/2006/main" count="1545" uniqueCount="806">
  <si>
    <t xml:space="preserve">Manufacturing Plant Operating Model</t>
  </si>
  <si>
    <t xml:space="preserve">Meridian Home Appliances Pvt Ltd (fictional)  ·  Plant 1, Chakan (Pune)  ·  15 products  ·  10 raw materials  ·  10 suppliers  ·  9 work centres  ·  12-month plan</t>
  </si>
  <si>
    <t xml:space="preserve">1. What this workbook is</t>
  </si>
  <si>
    <t xml:space="preserve">A connected planning model of a mid-size Indian electrical home-appliance plant. Fifteen products (ceiling, pedestal, table and exhaust fans, an air cooler, mixer grinders, a kettle, an induction cooktop, a sandwich maker, a room heater, an immersion rod, an iron and a water pump) are built from ten raw materials bought from ten suppliers. Material flows through a press shop, aluminium die-casting, injection moulding, motor and heating-element winding and a powder-coating line into sub-assembly modules, then three final-assembly lines and packing. Change any blue input and unit costs, margins, material requirements, capacity loads, reorder status and supplier spend all recalculate.</t>
  </si>
  <si>
    <t xml:space="preserve">2. Plant at a glance (live)</t>
  </si>
  <si>
    <t xml:space="preserve">Annual production</t>
  </si>
  <si>
    <t xml:space="preserve">Revenue (ex-GST)</t>
  </si>
  <si>
    <t xml:space="preserve">Raw-material spend</t>
  </si>
  <si>
    <t xml:space="preserve">Gross margin</t>
  </si>
  <si>
    <t xml:space="preserve">Peak capacity pressure</t>
  </si>
  <si>
    <t xml:space="preserve">Model integrity</t>
  </si>
  <si>
    <t xml:space="preserve">3. How the numbers flow</t>
  </si>
  <si>
    <t xml:space="preserve">Cost:  Products x BOM -&gt; raw-material cost per unit.  Add bought-out parts and conversion cost (Routing minutes x WorkCentres rates) -&gt; standard cost -&gt; margin vs selling price.</t>
  </si>
  <si>
    <t xml:space="preserve">Materials:  Demand_Plan (units by month) x BOM_Matrix (gross kg per unit, after process yield) -&gt; MRP (kg by month).</t>
  </si>
  <si>
    <t xml:space="preserve">Purchasing:  MRP x Sourcing split (primary / secondary / sole source) x effective price -&gt; Spend matrix (₹ lakh by supplier and material) -&gt; Suppliers (spend share, watch-list flags).</t>
  </si>
  <si>
    <t xml:space="preserve">Capacity:  Demand_Plan x Routing minutes / 60 -&gt; load hours by work centre and month -&gt; Capacity (utilization vs effective hours after OEE).</t>
  </si>
  <si>
    <t xml:space="preserve">Inventory:  MRP usage + weighted lead time + safety days -&gt; reorder point, status (REORDER NOW / WATCH / OK), suggested order quantity and ABC class.</t>
  </si>
  <si>
    <t xml:space="preserve">Assurance:  Checks proves the totals tie out by two independent routes, and that IDs, shares and ranges are valid.</t>
  </si>
  <si>
    <t xml:space="preserve">4. Sheet guide (click a name to jump)</t>
  </si>
  <si>
    <t xml:space="preserve">Sheet</t>
  </si>
  <si>
    <t xml:space="preserve">Type</t>
  </si>
  <si>
    <t xml:space="preserve">What it holds</t>
  </si>
  <si>
    <t xml:space="preserve">Dashboard</t>
  </si>
  <si>
    <t xml:space="preserve">Output</t>
  </si>
  <si>
    <t xml:space="preserve">KPI tiles, capacity heat map, live takeaways and six charts (revenue by family, utilization, spend by material and supplier, margins, inventory cover).</t>
  </si>
  <si>
    <t xml:space="preserve">Assumptions</t>
  </si>
  <si>
    <t xml:space="preserve">Input</t>
  </si>
  <si>
    <t xml:space="preserve">Global parameters and the demand multiplier lever; thresholds for flags, ABC classes and capacity colours.</t>
  </si>
  <si>
    <t xml:space="preserve">Products</t>
  </si>
  <si>
    <t xml:space="preserve">Input + calc</t>
  </si>
  <si>
    <t xml:space="preserve">15 products P01-P15: spec, final-assembly line, batch size, bought-out parts, selling price, and the cost / margin / revenue roll-up.</t>
  </si>
  <si>
    <t xml:space="preserve">RawMaterials</t>
  </si>
  <si>
    <t xml:space="preserve">10 materials RW01-RW10: specification, yield, safety days, price lever, weighted price and lead time, price basis notes.</t>
  </si>
  <si>
    <t xml:space="preserve">Suppliers</t>
  </si>
  <si>
    <t xml:space="preserve">10 suppliers S01-S10: location, type, delivery / quality / financial inputs; spend share and automatic watch-list reasons.</t>
  </si>
  <si>
    <t xml:space="preserve">Sourcing</t>
  </si>
  <si>
    <t xml:space="preserve">18 supplier-material links: share of requirement, quoted and effective price, lead time, MOQ, transport; annual volume and spend.</t>
  </si>
  <si>
    <t xml:space="preserve">BOM</t>
  </si>
  <si>
    <t xml:space="preserve">102 bill-of-material lines by assembly module: net kg per unit, process yield, gross kg, cost and loss.</t>
  </si>
  <si>
    <t xml:space="preserve">BOM_Matrix</t>
  </si>
  <si>
    <t xml:space="preserve">Calc</t>
  </si>
  <si>
    <t xml:space="preserve">Product x material views of net kg, gross kg and cost per unit, plus cost by assembly module.</t>
  </si>
  <si>
    <t xml:space="preserve">WorkCentres</t>
  </si>
  <si>
    <t xml:space="preserve">9 work centres: units, shifts, OEE, cost rate; effective capacity in hours per month.</t>
  </si>
  <si>
    <t xml:space="preserve">Routing</t>
  </si>
  <si>
    <t xml:space="preserve">Standard minutes per unit at each work centre (including each product's own final-assembly line) and the conversion-cost build-up.</t>
  </si>
  <si>
    <t xml:space="preserve">Demand_Plan</t>
  </si>
  <si>
    <t xml:space="preserve">Seasonality indices and the 12-month production plan in units, revenue by month and by product family.</t>
  </si>
  <si>
    <t xml:space="preserve">MRP</t>
  </si>
  <si>
    <t xml:space="preserve">Monthly gross raw-material requirement in kg and ₹ lakh, with scrap.</t>
  </si>
  <si>
    <t xml:space="preserve">Capacity</t>
  </si>
  <si>
    <t xml:space="preserve">Load hours and utilization by work centre and month, heat map, peak shortfalls and extra units needed.</t>
  </si>
  <si>
    <t xml:space="preserve">Inventory</t>
  </si>
  <si>
    <t xml:space="preserve">Stock snapshot, days of cover, safety stock, reorder point, status, suggested orders, ABC class.</t>
  </si>
  <si>
    <t xml:space="preserve">Spend</t>
  </si>
  <si>
    <t xml:space="preserve">Supplier x material spend matrix with concentration measures.</t>
  </si>
  <si>
    <t xml:space="preserve">Checks</t>
  </si>
  <si>
    <t xml:space="preserve">33 live integrity checks.</t>
  </si>
  <si>
    <t xml:space="preserve">5. Colour and format conventions</t>
  </si>
  <si>
    <t xml:space="preserve">Blue text</t>
  </si>
  <si>
    <t xml:space="preserve">Hard-coded input or assumption - safe to change.</t>
  </si>
  <si>
    <t xml:space="preserve">Black text</t>
  </si>
  <si>
    <t xml:space="preserve">Formula - do not overwrite.</t>
  </si>
  <si>
    <t xml:space="preserve">Green text</t>
  </si>
  <si>
    <t xml:space="preserve">Value pulled from another sheet.</t>
  </si>
  <si>
    <t xml:space="preserve">Yellow fill</t>
  </si>
  <si>
    <t xml:space="preserve">Scenario lever (demand multiplier, per-material price change).</t>
  </si>
  <si>
    <t xml:space="preserve">Units: money tables are in ₹ lakh (1 lakh = 100,000) and dashboard headline figures in ₹ crore (1 crore = 10,000,000); prices are ex-GST; materials are in kg; time is in minutes per unit or hours per month. Tab colours: blue = input sheets, green = calculation sheets, orange = dashboard, yellow = assumptions, grey = documentation and checks. The heat-map and status colours (red / amber / green / grey) are always paired with text so colour is never the only signal.</t>
  </si>
  <si>
    <t xml:space="preserve">6. Try these what-ifs</t>
  </si>
  <si>
    <t xml:space="preserve">•  Assumptions!B10: set the demand multiplier to 1.15 - watch the capacity heat map, the reorder list and the supplier spend shares change.</t>
  </si>
  <si>
    <t xml:space="preserve">•  RawMaterials!H5: enter +20% on copper winding wire (RW04) - see the effect on product margins, plant gross margin and supplier concentration.</t>
  </si>
  <si>
    <t xml:space="preserve">•  Sourcing!G8:G9: change the copper wire split from 75/25 to 50/50 (keep the two shares adding to 100%) - weighted price, lead time and concentration index update.</t>
  </si>
  <si>
    <t xml:space="preserve">•  WorkCentres!G6: add a second powder-coating line (units 1 -&gt; 2), or change shifts from 2 to 3 on a final-assembly line, and re-read the Capacity status column.</t>
  </si>
  <si>
    <t xml:space="preserve">•  Products!O: change a selling price to test price/margin trade-offs; Inventory!E: type a new stock level to see how reorder status flips.</t>
  </si>
  <si>
    <t xml:space="preserve">7. Assumptions and data basis - read before relying on any number</t>
  </si>
  <si>
    <t xml:space="preserve">•  Fictional by design: the company, all ten supplier names and their ratings are invented. Place names are real Indian industrial locations used only for realism.</t>
  </si>
  <si>
    <t xml:space="preserve">•  Calculated (live formulas): every cost, margin, requirement, load, utilization, reorder point, spend figure and check. Nothing downstream of the inputs is typed in.</t>
  </si>
  <si>
    <t xml:space="preserve">•  Engineering estimates (planning values, not measurements): BOM quantities, process yields, routing minutes, OEE, shifts and machine counts, work-centre cost rates, supplier lead times / MOQs / delivery and quality metrics, seasonality, opening stock, on-order quantities and selling prices.</t>
  </si>
  <si>
    <t xml:space="preserve">•  Price-benchmarked: raw-material base prices are indicative planning rates in ₹ per kg (ex-GST), anchored to public trade listings for CR coil, ADC12 alloy, copper wire, ABS, SS304 sheet and nichrome wire and estimated for CRNGO coil, PP, powder coating and cartons. The listings found were undated or from different months, so they are NOT current quotes - see RawMaterials column P for each basis.</t>
  </si>
  <si>
    <t xml:space="preserve">•  Bought-out parts (PCBs, bearings, switches, glass, cords, capacitors, thermostats) are not among the 10 modelled materials; they are carried as a ₹ per unit allowance on Products so unit costs stay realistic. They are therefore outside MRP, Sourcing and Spend.</t>
  </si>
  <si>
    <t xml:space="preserve">•  Plan = demand (make-to-forecast, chase strategy), 26 working days a month, snapshot stock as of 20-Oct-2026. There is no finished-goods or work-in-process inventory, so seasonal peaks show up as capacity overload rather than being smoothed by pre-build.</t>
  </si>
  <si>
    <t xml:space="preserve">8. Limits of the model</t>
  </si>
  <si>
    <t xml:space="preserve">•  A planning model, not a costing or accounting system: conversion cost is machine-hours x an all-in rate; no overhead absorption, taxes, freight surcharges, working-capital cost or FX effects.</t>
  </si>
  <si>
    <t xml:space="preserve">•  Reorder logic is deterministic (average usage, fixed lead time, safety days). It does not model demand variability, supplier failures or lot-sizing economics beyond the order lot.</t>
  </si>
  <si>
    <t xml:space="preserve">•  Scrap is costed at full material price (no credit for re-melting or regrinding); sales of scrap would improve margins.</t>
  </si>
  <si>
    <t xml:space="preserve">•  Supplier metrics are illustrative; use real delivery, quality and financial data before drawing conclusions about any actual supplier.</t>
  </si>
  <si>
    <t xml:space="preserve">9. Adapting it to another plant or industry</t>
  </si>
  <si>
    <t xml:space="preserve">The structure is generic: replace names and specifications on Products, RawMaterials and Suppliers; set BOM quantities, yields and Sourcing splits; set routing minutes, work-centre counts, shifts and rates; load a forecast and seasonality; then update the inventory snapshot. Formulas, checks, dashboard and charts follow. Keep IDs in the same row order across sheets (the Checks sheet tests this) and add BOM or Sourcing rows directly below the last row of each table.</t>
  </si>
  <si>
    <t xml:space="preserve">Material yield loss</t>
  </si>
  <si>
    <t xml:space="preserve">Tightest work centre (peak)</t>
  </si>
  <si>
    <t xml:space="preserve">Overloaded work-centre months</t>
  </si>
  <si>
    <t xml:space="preserve">Suppliers on watch-list</t>
  </si>
  <si>
    <t xml:space="preserve">Largest supplier share</t>
  </si>
  <si>
    <t xml:space="preserve">Import share of RM spend</t>
  </si>
  <si>
    <t xml:space="preserve">Sole-sourced materials</t>
  </si>
  <si>
    <t xml:space="preserve">Materials to reorder now</t>
  </si>
  <si>
    <t xml:space="preserve">RM stock value</t>
  </si>
  <si>
    <t xml:space="preserve">Model integrity checks</t>
  </si>
  <si>
    <t xml:space="preserve">What the model says right now (live text)</t>
  </si>
  <si>
    <t xml:space="preserve">Capacity heat map - utilization by work centre and month (red &gt; 100%, amber &gt;= 85%, green 50-85%, grey &lt; 50%)</t>
  </si>
  <si>
    <t xml:space="preserve">Work centre</t>
  </si>
  <si>
    <t xml:space="preserve">Charts</t>
  </si>
  <si>
    <t xml:space="preserve">Where a blue cover bar is shorter than its orange reorder-point bar, the material has hit its reorder trigger (quantities are on the Inventory sheet).</t>
  </si>
  <si>
    <t xml:space="preserve">Chart data (formulas that feed the charts above - do not overwrite)</t>
  </si>
  <si>
    <t xml:space="preserve">Raw-material spend, ranked (₹ lakh)</t>
  </si>
  <si>
    <t xml:space="preserve">Supplier spend, ranked (₹ lakh)</t>
  </si>
  <si>
    <t xml:space="preserve">Material</t>
  </si>
  <si>
    <t xml:space="preserve">₹ lakh</t>
  </si>
  <si>
    <t xml:space="preserve">rank key</t>
  </si>
  <si>
    <t xml:space="preserve">Supplier</t>
  </si>
  <si>
    <t xml:space="preserve">Work-centre utilization</t>
  </si>
  <si>
    <t xml:space="preserve">Monthly revenue by family (₹ lakh)</t>
  </si>
  <si>
    <t xml:space="preserve">Average</t>
  </si>
  <si>
    <t xml:space="preserve">Peak month</t>
  </si>
  <si>
    <t xml:space="preserve">100% line</t>
  </si>
  <si>
    <t xml:space="preserve">Family</t>
  </si>
  <si>
    <t xml:space="preserve">Gross margin by product</t>
  </si>
  <si>
    <t xml:space="preserve">Inventory: days of cover vs reorder point</t>
  </si>
  <si>
    <t xml:space="preserve">Product</t>
  </si>
  <si>
    <t xml:space="preserve">Gross margin %</t>
  </si>
  <si>
    <t xml:space="preserve">Cover incl. on order (days)</t>
  </si>
  <si>
    <t xml:space="preserve">Reorder point (days)</t>
  </si>
  <si>
    <t xml:space="preserve">Assumptions &amp; scenario levers</t>
  </si>
  <si>
    <t xml:space="preserve">Global parameters that drive every calculation sheet. Blue = input. Yellow = scenario lever you can change to test a what-if.</t>
  </si>
  <si>
    <t xml:space="preserve">Parameter</t>
  </si>
  <si>
    <t xml:space="preserve">Value</t>
  </si>
  <si>
    <t xml:space="preserve">Unit</t>
  </si>
  <si>
    <t xml:space="preserve">Where it is used / note</t>
  </si>
  <si>
    <t xml:space="preserve">Company (fictional)</t>
  </si>
  <si>
    <t xml:space="preserve">Meridian Home Appliances Pvt Ltd</t>
  </si>
  <si>
    <t xml:space="preserve">Fictional company created for this model; supplier names are fictional too.</t>
  </si>
  <si>
    <t xml:space="preserve">Plant</t>
  </si>
  <si>
    <t xml:space="preserve">Plant 1, Chakan (Pune), Maharashtra</t>
  </si>
  <si>
    <t xml:space="preserve">Single-plant, make-to-forecast operating model.</t>
  </si>
  <si>
    <t xml:space="preserve">Inventory snapshot date</t>
  </si>
  <si>
    <t xml:space="preserve">date</t>
  </si>
  <si>
    <t xml:space="preserve">Stock and on-order quantities on the Inventory sheet are as of this date.</t>
  </si>
  <si>
    <t xml:space="preserve">Plan start month</t>
  </si>
  <si>
    <t xml:space="preserve">month</t>
  </si>
  <si>
    <t xml:space="preserve">First of 12 planning months (Demand_Plan, MRP, Capacity headers follow from this).</t>
  </si>
  <si>
    <t xml:space="preserve">Working days per month</t>
  </si>
  <si>
    <t xml:space="preserve">days</t>
  </si>
  <si>
    <t xml:space="preserve">Capacity: every work centre runs this many days a month (6-day week).</t>
  </si>
  <si>
    <t xml:space="preserve">Demand multiplier</t>
  </si>
  <si>
    <t xml:space="preserve">x</t>
  </si>
  <si>
    <t xml:space="preserve">LEVER. Scales every product's demand: 1.10 = +10%. Flows to MRP, Capacity, Spend, Inventory.</t>
  </si>
  <si>
    <t xml:space="preserve">Order-up-to cover</t>
  </si>
  <si>
    <t xml:space="preserve">Inventory: order-up-to level = reorder point + this many days of usage.</t>
  </si>
  <si>
    <t xml:space="preserve">WATCH buffer above reorder point</t>
  </si>
  <si>
    <t xml:space="preserve">%</t>
  </si>
  <si>
    <t xml:space="preserve">Inventory: status is WATCH when position is within this % above the reorder point.</t>
  </si>
  <si>
    <t xml:space="preserve">ABC class A cut-off (cumulative spend)</t>
  </si>
  <si>
    <t xml:space="preserve">Materials inside the first 80% of cumulative spend are class A.</t>
  </si>
  <si>
    <t xml:space="preserve">ABC class B cut-off (cumulative spend)</t>
  </si>
  <si>
    <t xml:space="preserve">Next band up to 95% is class B; the rest is class C.</t>
  </si>
  <si>
    <t xml:space="preserve">Supplier flag: on-time delivery below</t>
  </si>
  <si>
    <t xml:space="preserve">Suppliers: low on-time delivery flag.</t>
  </si>
  <si>
    <t xml:space="preserve">Supplier flag: financial health score below</t>
  </si>
  <si>
    <t xml:space="preserve">score</t>
  </si>
  <si>
    <t xml:space="preserve">Suppliers: weak financial score flag (scale 0-100).</t>
  </si>
  <si>
    <t xml:space="preserve">Supplier flag: share of total RM spend at or above</t>
  </si>
  <si>
    <t xml:space="preserve">Suppliers: concentration flag.</t>
  </si>
  <si>
    <t xml:space="preserve">Capacity: TIGHT at or above</t>
  </si>
  <si>
    <t xml:space="preserve">Capacity status and heat-map colour (amber).</t>
  </si>
  <si>
    <t xml:space="preserve">Capacity: OVERLOAD above</t>
  </si>
  <si>
    <t xml:space="preserve">Capacity status and heat-map colour (red). Above this the month needs overtime, a 3rd shift or pre-build.</t>
  </si>
  <si>
    <t xml:space="preserve">Rupees per lakh</t>
  </si>
  <si>
    <t xml:space="preserve">₹</t>
  </si>
  <si>
    <t xml:space="preserve">Unit conversion: money tables are shown in ₹ lakh (1 lakh = 100,000).</t>
  </si>
  <si>
    <t xml:space="preserve">Rupees per crore</t>
  </si>
  <si>
    <t xml:space="preserve">Unit conversion: dashboard KPIs are shown in ₹ crore (1 crore = 10,000,000).</t>
  </si>
  <si>
    <t xml:space="preserve">Per-material price changes are set on RawMaterials (column H, yellow). Selling prices are on Products (column O).</t>
  </si>
  <si>
    <t xml:space="preserve">Product ID</t>
  </si>
  <si>
    <t xml:space="preserve">Specification</t>
  </si>
  <si>
    <t xml:space="preserve">Final assembly WC</t>
  </si>
  <si>
    <t xml:space="preserve">Final assembly line</t>
  </si>
  <si>
    <t xml:space="preserve">Batch / lot size (units)</t>
  </si>
  <si>
    <t xml:space="preserve">Warranty (months)</t>
  </si>
  <si>
    <t xml:space="preserve">Base demand (units / month)</t>
  </si>
  <si>
    <t xml:space="preserve">Bought-out parts (₹ / unit)</t>
  </si>
  <si>
    <t xml:space="preserve">Key bought-out parts</t>
  </si>
  <si>
    <t xml:space="preserve">Raw-material cost (₹ / unit)</t>
  </si>
  <si>
    <t xml:space="preserve">Conversion cost (₹ / unit)</t>
  </si>
  <si>
    <t xml:space="preserve">Standard cost (₹ / unit)</t>
  </si>
  <si>
    <t xml:space="preserve">Selling price, ex-GST (₹ / unit)</t>
  </si>
  <si>
    <t xml:space="preserve">Gross margin (₹ / unit)</t>
  </si>
  <si>
    <t xml:space="preserve">Gross margin (%)</t>
  </si>
  <si>
    <t xml:space="preserve">Annual units (plan)</t>
  </si>
  <si>
    <t xml:space="preserve">Annual revenue (₹ lakh)</t>
  </si>
  <si>
    <t xml:space="preserve">Annual gross profit (₹ lakh)</t>
  </si>
  <si>
    <t xml:space="preserve">RM share of standard cost</t>
  </si>
  <si>
    <t xml:space="preserve">P01</t>
  </si>
  <si>
    <t xml:space="preserve">Ceiling Fan 1200 mm - Induction</t>
  </si>
  <si>
    <t xml:space="preserve">Fans &amp; Cooling</t>
  </si>
  <si>
    <t xml:space="preserve">1200 mm sweep, 75 W induction motor, 3 blades</t>
  </si>
  <si>
    <t xml:space="preserve">WC06</t>
  </si>
  <si>
    <t xml:space="preserve">Ball bearings, capacitor, regulator, shaft and down-rod, fasteners</t>
  </si>
  <si>
    <t xml:space="preserve">P02</t>
  </si>
  <si>
    <t xml:space="preserve">Ceiling Fan 1200 mm - BLDC</t>
  </si>
  <si>
    <t xml:space="preserve">1200 mm sweep, 28 W BLDC motor, 3 blades</t>
  </si>
  <si>
    <t xml:space="preserve">BLDC driver PCB and remote receiver, magnets, bearings, fasteners</t>
  </si>
  <si>
    <t xml:space="preserve">P03</t>
  </si>
  <si>
    <t xml:space="preserve">Pedestal Fan 400 mm</t>
  </si>
  <si>
    <t xml:space="preserve">400 mm sweep, 3-speed, oscillating, height-adjustable</t>
  </si>
  <si>
    <t xml:space="preserve">Bearings, capacitor, guard grills, oscillation gearbox, switch, cord</t>
  </si>
  <si>
    <t xml:space="preserve">P04</t>
  </si>
  <si>
    <t xml:space="preserve">Table Fan 400 mm</t>
  </si>
  <si>
    <t xml:space="preserve">400 mm sweep, 3-speed, oscillating</t>
  </si>
  <si>
    <t xml:space="preserve">P05</t>
  </si>
  <si>
    <t xml:space="preserve">Exhaust Fan 230 mm</t>
  </si>
  <si>
    <t xml:space="preserve">230 mm (9 in) sweep, 55 W, with shutter</t>
  </si>
  <si>
    <t xml:space="preserve">Bearings, capacitor, shutter hardware, cord</t>
  </si>
  <si>
    <t xml:space="preserve">P06</t>
  </si>
  <si>
    <t xml:space="preserve">Personal Air Cooler 30 L</t>
  </si>
  <si>
    <t xml:space="preserve">30 L tank, 3-speed blower, honeycomb pads</t>
  </si>
  <si>
    <t xml:space="preserve">Water pump, honeycomb pads, castors, float valve, switch, cord</t>
  </si>
  <si>
    <t xml:space="preserve">P07</t>
  </si>
  <si>
    <t xml:space="preserve">Mixer Grinder 500 W</t>
  </si>
  <si>
    <t xml:space="preserve">Kitchen Appliances</t>
  </si>
  <si>
    <t xml:space="preserve">500 W universal motor, 3 stainless-steel jars</t>
  </si>
  <si>
    <t xml:space="preserve">WC07</t>
  </si>
  <si>
    <t xml:space="preserve">Jar lids and gaskets, switch, overload protector, cord, rubber feet</t>
  </si>
  <si>
    <t xml:space="preserve">P08</t>
  </si>
  <si>
    <t xml:space="preserve">Mixer Grinder 750 W</t>
  </si>
  <si>
    <t xml:space="preserve">750 W universal motor, 3 stainless-steel jars</t>
  </si>
  <si>
    <t xml:space="preserve">P09</t>
  </si>
  <si>
    <t xml:space="preserve">Electric Kettle 1.5 L</t>
  </si>
  <si>
    <t xml:space="preserve">1.5 L stainless-steel vessel, 1500 W concealed element</t>
  </si>
  <si>
    <t xml:space="preserve">Thermostat/cut-off controller, base connector, cord, switch and indicator</t>
  </si>
  <si>
    <t xml:space="preserve">P10</t>
  </si>
  <si>
    <t xml:space="preserve">Induction Cooktop 2000 W</t>
  </si>
  <si>
    <t xml:space="preserve">2000 W induction, touch/push controls, glass top</t>
  </si>
  <si>
    <t xml:space="preserve">Control PCB with IGBT, ceramic glass plate, cooling fan, cord, controls</t>
  </si>
  <si>
    <t xml:space="preserve">P11</t>
  </si>
  <si>
    <t xml:space="preserve">Sandwich Maker 750 W</t>
  </si>
  <si>
    <t xml:space="preserve">750 W, non-stick die-cast plates, 2-slice</t>
  </si>
  <si>
    <t xml:space="preserve">Thermostat, non-stick coating service, cord, indicator, rubber feet</t>
  </si>
  <si>
    <t xml:space="preserve">P12</t>
  </si>
  <si>
    <t xml:space="preserve">Fan Room Heater 2000 W</t>
  </si>
  <si>
    <t xml:space="preserve">Heating &amp; Water</t>
  </si>
  <si>
    <t xml:space="preserve">2000 W, 2 heat settings with fan, tip-over cut-off</t>
  </si>
  <si>
    <t xml:space="preserve">WC08</t>
  </si>
  <si>
    <t xml:space="preserve">Thermal fuse and thermostat, switches, tip-over switch, cord</t>
  </si>
  <si>
    <t xml:space="preserve">P13</t>
  </si>
  <si>
    <t xml:space="preserve">Immersion Water Heater Rod 1500 W</t>
  </si>
  <si>
    <t xml:space="preserve">1500 W, stainless-steel sheath, shock-proof handle</t>
  </si>
  <si>
    <t xml:space="preserve">Plug and cord, thermal cut-out, sheath end seals</t>
  </si>
  <si>
    <t xml:space="preserve">P14</t>
  </si>
  <si>
    <t xml:space="preserve">Dry Iron 1000 W</t>
  </si>
  <si>
    <t xml:space="preserve">1000 W, non-stick soleplate, adjustable thermostat</t>
  </si>
  <si>
    <t xml:space="preserve">Thermostat, cord, indicator, handle hardware</t>
  </si>
  <si>
    <t xml:space="preserve">P15</t>
  </si>
  <si>
    <t xml:space="preserve">Water Pump 0.5 HP Monoblock</t>
  </si>
  <si>
    <t xml:space="preserve">0.5 HP (0.37 kW) single-phase monoblock centrifugal pump</t>
  </si>
  <si>
    <t xml:space="preserve">Mechanical seal, bearings, capacitor, terminal block, noryl impeller</t>
  </si>
  <si>
    <t xml:space="preserve">Plant total</t>
  </si>
  <si>
    <t xml:space="preserve">Standard cost = raw material (from BOM) + bought-out parts + conversion (routing minutes x work-centre rate). Selling prices are planning ex-factory prices (before GST) chosen to give roughly 26-35% gross margin at base-case costs - replace with your actual price list.</t>
  </si>
  <si>
    <t xml:space="preserve">Bought-out parts (electronics, bearings, switches, glass, cords, etc.) are not among the 10 modelled raw materials; they are carried as a ₹ / unit allowance so unit costs stay realistic. Plant total margin and RM share are volume-weighted.</t>
  </si>
  <si>
    <t xml:space="preserve">RM ID</t>
  </si>
  <si>
    <t xml:space="preserve">Raw material</t>
  </si>
  <si>
    <t xml:space="preserve">Short name</t>
  </si>
  <si>
    <t xml:space="preserve">Category</t>
  </si>
  <si>
    <t xml:space="preserve">UoM</t>
  </si>
  <si>
    <t xml:space="preserve">Standard price (₹ / kg, weighted)</t>
  </si>
  <si>
    <t xml:space="preserve">Price change vs base (lever)</t>
  </si>
  <si>
    <t xml:space="preserve">Process yield (net ÷ gross)</t>
  </si>
  <si>
    <t xml:space="preserve">Weighted lead time (days)</t>
  </si>
  <si>
    <t xml:space="preserve">Longest lead time (days)</t>
  </si>
  <si>
    <t xml:space="preserve">Order lot (kg) = MOQ of main source</t>
  </si>
  <si>
    <t xml:space="preserve">Safety stock (days of usage)</t>
  </si>
  <si>
    <t xml:space="preserve">Price volatility</t>
  </si>
  <si>
    <t xml:space="preserve">Storage / handling</t>
  </si>
  <si>
    <t xml:space="preserve">Price basis &amp; source note</t>
  </si>
  <si>
    <t xml:space="preserve">Sources (#)</t>
  </si>
  <si>
    <t xml:space="preserve">Sole source?</t>
  </si>
  <si>
    <t xml:space="preserve">Import share of supply</t>
  </si>
  <si>
    <t xml:space="preserve">Source-share check (must = 100%)</t>
  </si>
  <si>
    <t xml:space="preserve">RW01</t>
  </si>
  <si>
    <t xml:space="preserve">CRNGO Electrical Steel Coil</t>
  </si>
  <si>
    <t xml:space="preserve">CRNGO steel coil</t>
  </si>
  <si>
    <t xml:space="preserve">Non-oriented silicon steel, M-grade, 0.50 mm slit coil</t>
  </si>
  <si>
    <t xml:space="preserve">Ferrous metal</t>
  </si>
  <si>
    <t xml:space="preserve">kg</t>
  </si>
  <si>
    <t xml:space="preserve">Medium</t>
  </si>
  <si>
    <t xml:space="preserve">Covered coil store; rust-sensitive, oiled coils</t>
  </si>
  <si>
    <t xml:space="preserve">Planning estimate - no dated public quote found; CRNGO is sold on mill price lists</t>
  </si>
  <si>
    <t xml:space="preserve">RW02</t>
  </si>
  <si>
    <t xml:space="preserve">CRCA Steel Sheet / Coil</t>
  </si>
  <si>
    <t xml:space="preserve">CRCA steel sheet</t>
  </si>
  <si>
    <t xml:space="preserve">Cold-rolled low-carbon steel sheet / coil, IS 513 type, 0.5-1.2 mm</t>
  </si>
  <si>
    <t xml:space="preserve">Covered sheet and coil store</t>
  </si>
  <si>
    <t xml:space="preserve">CR coil list rates ₹61.9-64.6k/t ex-yard (Tata nexarc page, dated 'Oct-24', year unclear) + ₹3-4/kg cut-to-length; rounded</t>
  </si>
  <si>
    <t xml:space="preserve">RW03</t>
  </si>
  <si>
    <t xml:space="preserve">Aluminium Alloy Ingot (ADC12)</t>
  </si>
  <si>
    <t xml:space="preserve">Aluminium ADC12</t>
  </si>
  <si>
    <t xml:space="preserve">ADC12 / A383 die-casting alloy, 10 kg bars</t>
  </si>
  <si>
    <t xml:space="preserve">Non-ferrous metal</t>
  </si>
  <si>
    <t xml:space="preserve">High</t>
  </si>
  <si>
    <t xml:space="preserve">Ingot yard next to melting furnace</t>
  </si>
  <si>
    <t xml:space="preserve">ADC12 benchmark ₹201-219/kg in late 2024 (BigMint via alcircle); scaled for 2026 LME and INR levels - estimate</t>
  </si>
  <si>
    <t xml:space="preserve">RW04</t>
  </si>
  <si>
    <t xml:space="preserve">Enamelled Copper Winding Wire</t>
  </si>
  <si>
    <t xml:space="preserve">Copper winding wire</t>
  </si>
  <si>
    <t xml:space="preserve">Class 180 (H), 0.25-0.80 mm round wire on spools</t>
  </si>
  <si>
    <t xml:space="preserve">Dry, covered spool racks; moisture-sensitive enamel</t>
  </si>
  <si>
    <t xml:space="preserve">Copper wire rod ₹1,229-1,249/kg ex-GST (OfBusiness listing) + about ₹100/kg enamelling premium (estimate)</t>
  </si>
  <si>
    <t xml:space="preserve">RW05</t>
  </si>
  <si>
    <t xml:space="preserve">Polypropylene (PP) Granules</t>
  </si>
  <si>
    <t xml:space="preserve">PP granules</t>
  </si>
  <si>
    <t xml:space="preserve">Injection-moulding grade PP, homopolymer/copolymer, 25 kg bags</t>
  </si>
  <si>
    <t xml:space="preserve">Polymer</t>
  </si>
  <si>
    <t xml:space="preserve">Dry bagged store; hopper-dryer feed</t>
  </si>
  <si>
    <t xml:space="preserve">Mumbai PP list (PolymerUpdate) needs a login - planning estimate</t>
  </si>
  <si>
    <t xml:space="preserve">RW06</t>
  </si>
  <si>
    <t xml:space="preserve">ABS Granules</t>
  </si>
  <si>
    <t xml:space="preserve">ABS granules</t>
  </si>
  <si>
    <t xml:space="preserve">General-purpose injection grade ABS, natural/black, 25 kg bags</t>
  </si>
  <si>
    <t xml:space="preserve">Dry bagged store; pre-dried before moulding</t>
  </si>
  <si>
    <t xml:space="preserve">Listings ₹140-170/kg (OfBusiness, undated); rounded</t>
  </si>
  <si>
    <t xml:space="preserve">RW07</t>
  </si>
  <si>
    <t xml:space="preserve">Stainless Steel 304 Sheet</t>
  </si>
  <si>
    <t xml:space="preserve">SS304 sheet</t>
  </si>
  <si>
    <t xml:space="preserve">SS 304, 2B finish, 0.6-1.0 mm sheet</t>
  </si>
  <si>
    <t xml:space="preserve">Ferrous metal (stainless)</t>
  </si>
  <si>
    <t xml:space="preserve">Covered sheet rack; film-protected surface</t>
  </si>
  <si>
    <t xml:space="preserve">Listings ₹180-220/kg, 2B sheet ₹190-210/kg (OfBusiness, undated); rounded</t>
  </si>
  <si>
    <t xml:space="preserve">RW08</t>
  </si>
  <si>
    <t xml:space="preserve">Nichrome Resistance Wire (Ni80/Cr20)</t>
  </si>
  <si>
    <t xml:space="preserve">Nichrome wire</t>
  </si>
  <si>
    <t xml:space="preserve">Ni80Cr20 heating wire/ribbon, 0.3-1.2 mm</t>
  </si>
  <si>
    <t xml:space="preserve">Alloy</t>
  </si>
  <si>
    <t xml:space="preserve">Locked store; high value per kg</t>
  </si>
  <si>
    <t xml:space="preserve">Seller listings ₹2,000-2,100/kg for coil-form 80/20 wire (IndiaMART); rounded</t>
  </si>
  <si>
    <t xml:space="preserve">RW09</t>
  </si>
  <si>
    <t xml:space="preserve">Powder Coating (Epoxy-Polyester)</t>
  </si>
  <si>
    <t xml:space="preserve">Powder coating</t>
  </si>
  <si>
    <t xml:space="preserve">Hybrid powder, gloss/textured, 20 kg boxes</t>
  </si>
  <si>
    <t xml:space="preserve">Coating</t>
  </si>
  <si>
    <t xml:space="preserve">Cool dry store; shelf life 12 months</t>
  </si>
  <si>
    <t xml:space="preserve">Planning estimate - retail listings not extracted</t>
  </si>
  <si>
    <t xml:space="preserve">RW10</t>
  </si>
  <si>
    <t xml:space="preserve">Corrugated Board / Cartons</t>
  </si>
  <si>
    <t xml:space="preserve">Corrugated cartons</t>
  </si>
  <si>
    <t xml:space="preserve">5-ply printed cartons with die-cut inserts, priced per kg of board</t>
  </si>
  <si>
    <t xml:space="preserve">Packaging</t>
  </si>
  <si>
    <t xml:space="preserve">Low</t>
  </si>
  <si>
    <t xml:space="preserve">Covered flat-pack store; humidity-sensitive</t>
  </si>
  <si>
    <t xml:space="preserve">Planning estimate (kraft board + converting)</t>
  </si>
  <si>
    <t xml:space="preserve">All quantities are in kg so the BOM is on one consistent basis. Standard price = share-weighted effective price across the sources on the Sourcing sheet (quoted price x (1 + price change)).</t>
  </si>
  <si>
    <t xml:space="preserve">Prices are indicative planning rates in ₹ per kg ex-GST, anchored to public listings where marked and otherwise estimated. They are not supplier quotes - see the README for what is calculated, estimated or sourced.</t>
  </si>
  <si>
    <t xml:space="preserve">Supplier ID</t>
  </si>
  <si>
    <t xml:space="preserve">Supplier (fictional)</t>
  </si>
  <si>
    <t xml:space="preserve">City / state</t>
  </si>
  <si>
    <t xml:space="preserve">Country</t>
  </si>
  <si>
    <t xml:space="preserve">Supplier type</t>
  </si>
  <si>
    <t xml:space="preserve">Certifications</t>
  </si>
  <si>
    <t xml:space="preserve">On-time delivery (OTD)</t>
  </si>
  <si>
    <t xml:space="preserve">Avg delay when late (days)</t>
  </si>
  <si>
    <t xml:space="preserve">Rejection rate</t>
  </si>
  <si>
    <t xml:space="preserve">Lead-time std dev (days)</t>
  </si>
  <si>
    <t xml:space="preserve">Financial health score (0-100)</t>
  </si>
  <si>
    <t xml:space="preserve">Payment terms (days)</t>
  </si>
  <si>
    <t xml:space="preserve">Materials supplied (#)</t>
  </si>
  <si>
    <t xml:space="preserve">Sole-source materials (#)</t>
  </si>
  <si>
    <t xml:space="preserve">Avg lead time (days)</t>
  </si>
  <si>
    <t xml:space="preserve">Annual spend (₹ lakh)</t>
  </si>
  <si>
    <t xml:space="preserve">Share of RM spend</t>
  </si>
  <si>
    <t xml:space="preserve">Domestic / import</t>
  </si>
  <si>
    <t xml:space="preserve">Risk flags (#)</t>
  </si>
  <si>
    <t xml:space="preserve">Watch-list reasons</t>
  </si>
  <si>
    <t xml:space="preserve">S01</t>
  </si>
  <si>
    <t xml:space="preserve">Kalinga Electrical Steels Pvt Ltd</t>
  </si>
  <si>
    <t xml:space="preserve">Kalinga Steels</t>
  </si>
  <si>
    <t xml:space="preserve">Rourkela, Odisha</t>
  </si>
  <si>
    <t xml:space="preserve">India</t>
  </si>
  <si>
    <t xml:space="preserve">Steel mill</t>
  </si>
  <si>
    <t xml:space="preserve">ISO 9001, ISO 14001, BIS licence</t>
  </si>
  <si>
    <t xml:space="preserve">S02</t>
  </si>
  <si>
    <t xml:space="preserve">Pune Coil Processing Pvt Ltd</t>
  </si>
  <si>
    <t xml:space="preserve">Pune Coil Proc.</t>
  </si>
  <si>
    <t xml:space="preserve">Chakan, Pune, Maharashtra</t>
  </si>
  <si>
    <t xml:space="preserve">Steel service centre</t>
  </si>
  <si>
    <t xml:space="preserve">ISO 9001</t>
  </si>
  <si>
    <t xml:space="preserve">S03</t>
  </si>
  <si>
    <t xml:space="preserve">Deccan Aluminium Alloys Ltd</t>
  </si>
  <si>
    <t xml:space="preserve">Deccan Aluminium</t>
  </si>
  <si>
    <t xml:space="preserve">Hyderabad, Telangana</t>
  </si>
  <si>
    <t xml:space="preserve">Secondary aluminium smelter</t>
  </si>
  <si>
    <t xml:space="preserve">ISO 9001, IATF 16949</t>
  </si>
  <si>
    <t xml:space="preserve">S04</t>
  </si>
  <si>
    <t xml:space="preserve">Bharat Metal Traders</t>
  </si>
  <si>
    <t xml:space="preserve">Mumbai, Maharashtra</t>
  </si>
  <si>
    <t xml:space="preserve">Metal trader / stockist</t>
  </si>
  <si>
    <t xml:space="preserve">GST-registered trader (no plant certification)</t>
  </si>
  <si>
    <t xml:space="preserve">S05</t>
  </si>
  <si>
    <t xml:space="preserve">Vadodara Winding &amp; Resistance Wires Ltd</t>
  </si>
  <si>
    <t xml:space="preserve">Vadodara Wires</t>
  </si>
  <si>
    <t xml:space="preserve">Vadodara, Gujarat</t>
  </si>
  <si>
    <t xml:space="preserve">Winding &amp; resistance wire maker</t>
  </si>
  <si>
    <t xml:space="preserve">ISO 9001, ISO 14001</t>
  </si>
  <si>
    <t xml:space="preserve">S06</t>
  </si>
  <si>
    <t xml:space="preserve">Coimbatore Magnet Wires Pvt Ltd</t>
  </si>
  <si>
    <t xml:space="preserve">Coimbatore Magnet</t>
  </si>
  <si>
    <t xml:space="preserve">Coimbatore, Tamil Nadu</t>
  </si>
  <si>
    <t xml:space="preserve">Winding wire maker</t>
  </si>
  <si>
    <t xml:space="preserve">S07</t>
  </si>
  <si>
    <t xml:space="preserve">Mumbai Polymer Distribution Co.</t>
  </si>
  <si>
    <t xml:space="preserve">Mumbai Polymer</t>
  </si>
  <si>
    <t xml:space="preserve">Navi Mumbai, Maharashtra</t>
  </si>
  <si>
    <t xml:space="preserve">Polymer distributor</t>
  </si>
  <si>
    <t xml:space="preserve">S08</t>
  </si>
  <si>
    <t xml:space="preserve">Pacific Engineering Plastics Co. Ltd</t>
  </si>
  <si>
    <t xml:space="preserve">Pacific Plastics (TW)</t>
  </si>
  <si>
    <t xml:space="preserve">Kaohsiung</t>
  </si>
  <si>
    <t xml:space="preserve">Taiwan</t>
  </si>
  <si>
    <t xml:space="preserve">Resin producer (import)</t>
  </si>
  <si>
    <t xml:space="preserve">S09</t>
  </si>
  <si>
    <t xml:space="preserve">Ahmedabad Coatings &amp; Powders Pvt Ltd</t>
  </si>
  <si>
    <t xml:space="preserve">Ahmedabad Coatings</t>
  </si>
  <si>
    <t xml:space="preserve">Ahmedabad, Gujarat</t>
  </si>
  <si>
    <t xml:space="preserve">Powder-coating manufacturer</t>
  </si>
  <si>
    <t xml:space="preserve">S10</t>
  </si>
  <si>
    <t xml:space="preserve">Bhiwandi Packaging Industries</t>
  </si>
  <si>
    <t xml:space="preserve">Bhiwandi Packaging</t>
  </si>
  <si>
    <t xml:space="preserve">Bhiwandi, Maharashtra</t>
  </si>
  <si>
    <t xml:space="preserve">Corrugated carton converter</t>
  </si>
  <si>
    <t xml:space="preserve">ISO 9001, FSC chain of custody</t>
  </si>
  <si>
    <t xml:space="preserve">Performance figures (OTD, delay, rejection, lead-time variability, financial score, payment terms) are illustrative planning inputs for fictional suppliers - not measured data. Flags use the thresholds on the Assumptions sheet.</t>
  </si>
  <si>
    <t xml:space="preserve">Annual spend comes from the Spend sheet (MRP volume x source split x effective price). Watch-list reasons are generated by formula, so they update when inputs change.</t>
  </si>
  <si>
    <t xml:space="preserve">Link ID</t>
  </si>
  <si>
    <t xml:space="preserve">Role</t>
  </si>
  <si>
    <t xml:space="preserve">Share of requirement</t>
  </si>
  <si>
    <t xml:space="preserve">Quoted price (₹ / kg)</t>
  </si>
  <si>
    <t xml:space="preserve">Effective price (₹ / kg)</t>
  </si>
  <si>
    <t xml:space="preserve">Lead time (days)</t>
  </si>
  <si>
    <t xml:space="preserve">MOQ (kg)</t>
  </si>
  <si>
    <t xml:space="preserve">Transport</t>
  </si>
  <si>
    <t xml:space="preserve">Supplier origin</t>
  </si>
  <si>
    <t xml:space="preserve">Annual volume (kg)</t>
  </si>
  <si>
    <t xml:space="preserve">Notes</t>
  </si>
  <si>
    <t xml:space="preserve">L01</t>
  </si>
  <si>
    <t xml:space="preserve">Primary</t>
  </si>
  <si>
    <t xml:space="preserve">Rail + road</t>
  </si>
  <si>
    <t xml:space="preserve">Each material is bought from 1-2 sources. Share of requirement must add to 100% per material (see Checks). Role 'Sole source' = only one approved supplier.
Annual volume = share x annual gross requirement from MRP; annual spend = volume x effective price.
Quoted prices are indicative planning rates (ex-GST, delivered), not supplier quotes. Lead times and MOQs are typical for each supplier type.
To add a sourcing link, type it in the next free row (formulas read rows 2-60) and copy the formulas in columns C, E, I, M, N and O down.</t>
  </si>
  <si>
    <t xml:space="preserve">L02</t>
  </si>
  <si>
    <t xml:space="preserve">Secondary</t>
  </si>
  <si>
    <t xml:space="preserve">Road</t>
  </si>
  <si>
    <t xml:space="preserve">L03</t>
  </si>
  <si>
    <t xml:space="preserve">L04</t>
  </si>
  <si>
    <t xml:space="preserve">L05</t>
  </si>
  <si>
    <t xml:space="preserve">L06</t>
  </si>
  <si>
    <t xml:space="preserve">L07</t>
  </si>
  <si>
    <t xml:space="preserve">L08</t>
  </si>
  <si>
    <t xml:space="preserve">L09</t>
  </si>
  <si>
    <t xml:space="preserve">L10</t>
  </si>
  <si>
    <t xml:space="preserve">Sea + road</t>
  </si>
  <si>
    <t xml:space="preserve">L11</t>
  </si>
  <si>
    <t xml:space="preserve">L12</t>
  </si>
  <si>
    <t xml:space="preserve">L13</t>
  </si>
  <si>
    <t xml:space="preserve">L14</t>
  </si>
  <si>
    <t xml:space="preserve">L15</t>
  </si>
  <si>
    <t xml:space="preserve">L16</t>
  </si>
  <si>
    <t xml:space="preserve">L17</t>
  </si>
  <si>
    <t xml:space="preserve">Sole source</t>
  </si>
  <si>
    <t xml:space="preserve">L18</t>
  </si>
  <si>
    <t xml:space="preserve">Line ID</t>
  </si>
  <si>
    <t xml:space="preserve">Assembly module</t>
  </si>
  <si>
    <t xml:space="preserve">Net qty (kg / unit)</t>
  </si>
  <si>
    <t xml:space="preserve">Process yield</t>
  </si>
  <si>
    <t xml:space="preserve">Gross qty issued (kg / unit)</t>
  </si>
  <si>
    <t xml:space="preserve">Std price (₹ / kg)</t>
  </si>
  <si>
    <t xml:space="preserve">RM cost (₹ / unit)</t>
  </si>
  <si>
    <t xml:space="preserve">Process loss (kg / unit)</t>
  </si>
  <si>
    <t xml:space="preserve">Share of product RM cost</t>
  </si>
  <si>
    <t xml:space="preserve">B001</t>
  </si>
  <si>
    <t xml:space="preserve">Motor / coil sub-assembly</t>
  </si>
  <si>
    <t xml:space="preserve">102 BOM lines. Net quantities are engineering estimates of the material that ends up in ONE finished unit; gross = net / process yield.
Assembly modules show where each material is consumed in the build sequence: sub-assemblies first (motor, heating element, pump, jars, blades), then body, finishing and packing.
Bought-out parts (electronics, bearings, switches, glass, cords) are not listed here - they are a ₹ / unit allowance on Products.
To add a BOM line, type it directly below the last line (formulas read rows 2-400) and copy the formulas in columns C, F and H-M down.</t>
  </si>
  <si>
    <t xml:space="preserve">B002</t>
  </si>
  <si>
    <t xml:space="preserve">B003</t>
  </si>
  <si>
    <t xml:space="preserve">B004</t>
  </si>
  <si>
    <t xml:space="preserve">Body &amp; structure</t>
  </si>
  <si>
    <t xml:space="preserve">B005</t>
  </si>
  <si>
    <t xml:space="preserve">Finishing (powder coat)</t>
  </si>
  <si>
    <t xml:space="preserve">B006</t>
  </si>
  <si>
    <t xml:space="preserve">B007</t>
  </si>
  <si>
    <t xml:space="preserve">B008</t>
  </si>
  <si>
    <t xml:space="preserve">B009</t>
  </si>
  <si>
    <t xml:space="preserve">B010</t>
  </si>
  <si>
    <t xml:space="preserve">B011</t>
  </si>
  <si>
    <t xml:space="preserve">B012</t>
  </si>
  <si>
    <t xml:space="preserve">B013</t>
  </si>
  <si>
    <t xml:space="preserve">B014</t>
  </si>
  <si>
    <t xml:space="preserve">B015</t>
  </si>
  <si>
    <t xml:space="preserve">B016</t>
  </si>
  <si>
    <t xml:space="preserve">Blades &amp; guard</t>
  </si>
  <si>
    <t xml:space="preserve">B017</t>
  </si>
  <si>
    <t xml:space="preserve">B018</t>
  </si>
  <si>
    <t xml:space="preserve">B019</t>
  </si>
  <si>
    <t xml:space="preserve">B020</t>
  </si>
  <si>
    <t xml:space="preserve">B021</t>
  </si>
  <si>
    <t xml:space="preserve">B022</t>
  </si>
  <si>
    <t xml:space="preserve">B023</t>
  </si>
  <si>
    <t xml:space="preserve">B024</t>
  </si>
  <si>
    <t xml:space="preserve">B025</t>
  </si>
  <si>
    <t xml:space="preserve">B026</t>
  </si>
  <si>
    <t xml:space="preserve">B027</t>
  </si>
  <si>
    <t xml:space="preserve">B028</t>
  </si>
  <si>
    <t xml:space="preserve">B029</t>
  </si>
  <si>
    <t xml:space="preserve">B030</t>
  </si>
  <si>
    <t xml:space="preserve">B031</t>
  </si>
  <si>
    <t xml:space="preserve">B032</t>
  </si>
  <si>
    <t xml:space="preserve">B033</t>
  </si>
  <si>
    <t xml:space="preserve">B034</t>
  </si>
  <si>
    <t xml:space="preserve">B035</t>
  </si>
  <si>
    <t xml:space="preserve">B036</t>
  </si>
  <si>
    <t xml:space="preserve">B037</t>
  </si>
  <si>
    <t xml:space="preserve">B038</t>
  </si>
  <si>
    <t xml:space="preserve">B039</t>
  </si>
  <si>
    <t xml:space="preserve">B040</t>
  </si>
  <si>
    <t xml:space="preserve">B041</t>
  </si>
  <si>
    <t xml:space="preserve">B042</t>
  </si>
  <si>
    <t xml:space="preserve">B043</t>
  </si>
  <si>
    <t xml:space="preserve">B044</t>
  </si>
  <si>
    <t xml:space="preserve">B045</t>
  </si>
  <si>
    <t xml:space="preserve">B046</t>
  </si>
  <si>
    <t xml:space="preserve">B047</t>
  </si>
  <si>
    <t xml:space="preserve">Jars &amp; blades</t>
  </si>
  <si>
    <t xml:space="preserve">B048</t>
  </si>
  <si>
    <t xml:space="preserve">B049</t>
  </si>
  <si>
    <t xml:space="preserve">B050</t>
  </si>
  <si>
    <t xml:space="preserve">B051</t>
  </si>
  <si>
    <t xml:space="preserve">B052</t>
  </si>
  <si>
    <t xml:space="preserve">B053</t>
  </si>
  <si>
    <t xml:space="preserve">B054</t>
  </si>
  <si>
    <t xml:space="preserve">B055</t>
  </si>
  <si>
    <t xml:space="preserve">B056</t>
  </si>
  <si>
    <t xml:space="preserve">B057</t>
  </si>
  <si>
    <t xml:space="preserve">B058</t>
  </si>
  <si>
    <t xml:space="preserve">B059</t>
  </si>
  <si>
    <t xml:space="preserve">B060</t>
  </si>
  <si>
    <t xml:space="preserve">Heating sub-assembly</t>
  </si>
  <si>
    <t xml:space="preserve">B061</t>
  </si>
  <si>
    <t xml:space="preserve">B062</t>
  </si>
  <si>
    <t xml:space="preserve">B063</t>
  </si>
  <si>
    <t xml:space="preserve">B064</t>
  </si>
  <si>
    <t xml:space="preserve">B065</t>
  </si>
  <si>
    <t xml:space="preserve">B066</t>
  </si>
  <si>
    <t xml:space="preserve">B067</t>
  </si>
  <si>
    <t xml:space="preserve">B068</t>
  </si>
  <si>
    <t xml:space="preserve">B069</t>
  </si>
  <si>
    <t xml:space="preserve">B070</t>
  </si>
  <si>
    <t xml:space="preserve">B071</t>
  </si>
  <si>
    <t xml:space="preserve">B072</t>
  </si>
  <si>
    <t xml:space="preserve">B073</t>
  </si>
  <si>
    <t xml:space="preserve">B074</t>
  </si>
  <si>
    <t xml:space="preserve">B075</t>
  </si>
  <si>
    <t xml:space="preserve">B076</t>
  </si>
  <si>
    <t xml:space="preserve">B077</t>
  </si>
  <si>
    <t xml:space="preserve">B078</t>
  </si>
  <si>
    <t xml:space="preserve">B079</t>
  </si>
  <si>
    <t xml:space="preserve">B080</t>
  </si>
  <si>
    <t xml:space="preserve">B081</t>
  </si>
  <si>
    <t xml:space="preserve">B082</t>
  </si>
  <si>
    <t xml:space="preserve">B083</t>
  </si>
  <si>
    <t xml:space="preserve">B084</t>
  </si>
  <si>
    <t xml:space="preserve">B085</t>
  </si>
  <si>
    <t xml:space="preserve">B086</t>
  </si>
  <si>
    <t xml:space="preserve">B087</t>
  </si>
  <si>
    <t xml:space="preserve">B088</t>
  </si>
  <si>
    <t xml:space="preserve">B089</t>
  </si>
  <si>
    <t xml:space="preserve">B090</t>
  </si>
  <si>
    <t xml:space="preserve">B091</t>
  </si>
  <si>
    <t xml:space="preserve">B092</t>
  </si>
  <si>
    <t xml:space="preserve">B093</t>
  </si>
  <si>
    <t xml:space="preserve">B094</t>
  </si>
  <si>
    <t xml:space="preserve">B095</t>
  </si>
  <si>
    <t xml:space="preserve">B096</t>
  </si>
  <si>
    <t xml:space="preserve">B097</t>
  </si>
  <si>
    <t xml:space="preserve">Pump casing &amp; impeller</t>
  </si>
  <si>
    <t xml:space="preserve">B098</t>
  </si>
  <si>
    <t xml:space="preserve">B099</t>
  </si>
  <si>
    <t xml:space="preserve">B100</t>
  </si>
  <si>
    <t xml:space="preserve">B101</t>
  </si>
  <si>
    <t xml:space="preserve">B102</t>
  </si>
  <si>
    <t xml:space="preserve">WC ID</t>
  </si>
  <si>
    <t xml:space="preserve">Process</t>
  </si>
  <si>
    <t xml:space="preserve">Equipment</t>
  </si>
  <si>
    <t xml:space="preserve">Units (machines / stations)</t>
  </si>
  <si>
    <t xml:space="preserve">Shifts per day</t>
  </si>
  <si>
    <t xml:space="preserve">Hours per shift</t>
  </si>
  <si>
    <t xml:space="preserve">Working days / month</t>
  </si>
  <si>
    <t xml:space="preserve">OEE (effective output)</t>
  </si>
  <si>
    <t xml:space="preserve">Cost rate (₹ / unit-hour)</t>
  </si>
  <si>
    <t xml:space="preserve">Effective capacity (hours / month)</t>
  </si>
  <si>
    <t xml:space="preserve">Capacity per unit (hours / month)</t>
  </si>
  <si>
    <t xml:space="preserve">WC01</t>
  </si>
  <si>
    <t xml:space="preserve">Press Shop</t>
  </si>
  <si>
    <t xml:space="preserve">Press shop</t>
  </si>
  <si>
    <t xml:space="preserve">Fabrication</t>
  </si>
  <si>
    <t xml:space="preserve">Blanking, stamping, deep-draw and lamination stamping of CRNGO / CRCA / SS304</t>
  </si>
  <si>
    <t xml:space="preserve">Mechanical and hydraulic presses 63-250 t, lamination press</t>
  </si>
  <si>
    <t xml:space="preserve">WC02</t>
  </si>
  <si>
    <t xml:space="preserve">Aluminium Die-Casting &amp; Machining</t>
  </si>
  <si>
    <t xml:space="preserve">Al die-casting</t>
  </si>
  <si>
    <t xml:space="preserve">Casting &amp; machining</t>
  </si>
  <si>
    <t xml:space="preserve">HPDC of motor housings, end shields, plates and soleplates; fettling and machining</t>
  </si>
  <si>
    <t xml:space="preserve">HPDC cells 250-500 t, VMC/CNC machining</t>
  </si>
  <si>
    <t xml:space="preserve">WC03</t>
  </si>
  <si>
    <t xml:space="preserve">Injection Moulding</t>
  </si>
  <si>
    <t xml:space="preserve">Injection moulding</t>
  </si>
  <si>
    <t xml:space="preserve">Moulding</t>
  </si>
  <si>
    <t xml:space="preserve">PP and ABS housings, blades, lids, handles and bodies</t>
  </si>
  <si>
    <t xml:space="preserve">Injection machines 80-1000 t, hopper dryers</t>
  </si>
  <si>
    <t xml:space="preserve">WC04</t>
  </si>
  <si>
    <t xml:space="preserve">Winding &amp; Motor / Element Sub-Assembly</t>
  </si>
  <si>
    <t xml:space="preserve">Winding &amp; motor</t>
  </si>
  <si>
    <t xml:space="preserve">Sub-assembly</t>
  </si>
  <si>
    <t xml:space="preserve">Stator and armature winding, motor assembly, heating-element winding and fitting</t>
  </si>
  <si>
    <t xml:space="preserve">Automatic winders, motor assembly benches, element coiling</t>
  </si>
  <si>
    <t xml:space="preserve">WC05</t>
  </si>
  <si>
    <t xml:space="preserve">Powder-Coating Line</t>
  </si>
  <si>
    <t xml:space="preserve">Finishing</t>
  </si>
  <si>
    <t xml:space="preserve">Pre-treatment, powder spray and curing of painted metal parts</t>
  </si>
  <si>
    <t xml:space="preserve">Conveyorised pre-treatment, spray booth, curing oven</t>
  </si>
  <si>
    <t xml:space="preserve">FA-1 Final Assembly: Fans &amp; Coolers</t>
  </si>
  <si>
    <t xml:space="preserve">FA-1 Fans &amp; coolers</t>
  </si>
  <si>
    <t xml:space="preserve">Final assembly</t>
  </si>
  <si>
    <t xml:space="preserve">Final assembly, balancing and end-of-line test of fans and coolers</t>
  </si>
  <si>
    <t xml:space="preserve">Assembly stations, balancing rigs, EOL testers</t>
  </si>
  <si>
    <t xml:space="preserve">FA-2 Final Assembly: Kitchen Appliances</t>
  </si>
  <si>
    <t xml:space="preserve">FA-2 Kitchen</t>
  </si>
  <si>
    <t xml:space="preserve">Final assembly and electrical safety test of mixers, kettles, cooktops, sandwich makers</t>
  </si>
  <si>
    <t xml:space="preserve">Assembly stations, hi-pot and run-in testers</t>
  </si>
  <si>
    <t xml:space="preserve">FA-3 Final Assembly: Heating, Personal Care &amp; Pumps</t>
  </si>
  <si>
    <t xml:space="preserve">FA-3 Heating &amp; pumps</t>
  </si>
  <si>
    <t xml:space="preserve">Final assembly and test of heaters, immersion rods, irons and pumps</t>
  </si>
  <si>
    <t xml:space="preserve">Assembly stations, insulation and pressure testers</t>
  </si>
  <si>
    <t xml:space="preserve">WC09</t>
  </si>
  <si>
    <t xml:space="preserve">Packing &amp; Dispatch</t>
  </si>
  <si>
    <t xml:space="preserve">Packing &amp; dispatch</t>
  </si>
  <si>
    <t xml:space="preserve">Packing</t>
  </si>
  <si>
    <t xml:space="preserve">Carton packing, labelling, palletising and dispatch</t>
  </si>
  <si>
    <t xml:space="preserve">Packing tables, strapping, pallet wrappers</t>
  </si>
  <si>
    <t xml:space="preserve">Effective capacity = units x shifts x hours per shift x working days x OEE. Cost rate is an all-in conversion rate per machine- or station-hour (labour, power, maintenance, depreciation, overhead) - an estimate for planning, not an accounting rate.</t>
  </si>
  <si>
    <t xml:space="preserve">Casting, moulding and powder coating run 3 shifts because they are capital-intensive; the other centres run 2 shifts, leaving a 3rd shift or overtime as the lever for seasonal peaks.</t>
  </si>
  <si>
    <t xml:space="preserve">Routing - standard minutes per unit at each work centre</t>
  </si>
  <si>
    <t xml:space="preserve">Blue minutes are engineering estimates scaled to the material each product pushes through the process. 'Own final-assembly line' must be &gt; 0 for every product (checked).</t>
  </si>
  <si>
    <t xml:space="preserve">Total minutes / unit</t>
  </si>
  <si>
    <t xml:space="preserve">Own final-assembly line (min)</t>
  </si>
  <si>
    <t xml:space="preserve">Products routed (#)</t>
  </si>
  <si>
    <t xml:space="preserve">Conversion cost build-up (₹ per unit) = minutes x cost rate / 60</t>
  </si>
  <si>
    <t xml:space="preserve">Heuristic used to set minutes: press = 0.30 + 0.70 x CRCA kg + 0.90 x SS304 kg + 1.10 x CRNGO kg; die-casting = 0.20 + 1.70 x aluminium kg; moulding = 0.35 + 1.05 x plastic kg; winding = 0.80 + 6.5 x copper kg + 22 x nichrome kg; powder coat = 0.05 + 2.2 x powder kg; packing = 0.50 + 1.0 x carton kg. Final-assembly minutes are set per product.</t>
  </si>
  <si>
    <t xml:space="preserve">These are planning estimates for a fictional plant; replace with time-study or ERP routing data for a real one.</t>
  </si>
  <si>
    <t xml:space="preserve">BOM matrix - which raw materials go into which product</t>
  </si>
  <si>
    <t xml:space="preserve">All cells are formulas over the BOM sheet. Rows = products, columns = raw materials. Use it to see material intensity at a glance.</t>
  </si>
  <si>
    <t xml:space="preserve">A. Net material per finished unit (kg) - what ends up inside the product</t>
  </si>
  <si>
    <t xml:space="preserve">Total net (kg)</t>
  </si>
  <si>
    <t xml:space="preserve">Materials used (#)</t>
  </si>
  <si>
    <t xml:space="preserve">Products using this material (#)</t>
  </si>
  <si>
    <t xml:space="preserve">B. Gross material issued per unit (kg) = net / process yield - what must be bought and issued</t>
  </si>
  <si>
    <t xml:space="preserve">Total gross (kg)</t>
  </si>
  <si>
    <t xml:space="preserve">Yield loss (%)</t>
  </si>
  <si>
    <t xml:space="preserve">C. Raw-material cost per unit (₹) = gross kg x standard price</t>
  </si>
  <si>
    <t xml:space="preserve">Total RM cost (₹ / unit)</t>
  </si>
  <si>
    <t xml:space="preserve">Largest cost driver</t>
  </si>
  <si>
    <t xml:space="preserve">D. Raw-material cost per unit by assembly module (₹) - where the material cost sits in the build sequence</t>
  </si>
  <si>
    <t xml:space="preserve">Total (₹ / unit)</t>
  </si>
  <si>
    <t xml:space="preserve">Check vs block C</t>
  </si>
  <si>
    <t xml:space="preserve">Demand &amp; production plan - 12 months, make-to-forecast</t>
  </si>
  <si>
    <t xml:space="preserve">Production = demand, rounded up to the product's batch size: CEILING(base demand x seasonality index x demand multiplier, batch).</t>
  </si>
  <si>
    <t xml:space="preserve">Demand multiplier (lever on Assumptions)</t>
  </si>
  <si>
    <t xml:space="preserve">A. Seasonality index by product (average of the 12 months = 1.00; &gt;1 = above-average month)</t>
  </si>
  <si>
    <t xml:space="preserve">Demand pattern</t>
  </si>
  <si>
    <t xml:space="preserve">Average index</t>
  </si>
  <si>
    <t xml:space="preserve">Summer peak (Apr-Jul)</t>
  </si>
  <si>
    <t xml:space="preserve">Mild summer lift</t>
  </si>
  <si>
    <t xml:space="preserve">Strong summer peak (Apr-Jun)</t>
  </si>
  <si>
    <t xml:space="preserve">Festive &amp; weddings (Oct-Dec)</t>
  </si>
  <si>
    <t xml:space="preserve">Winter lift (Dec-Feb)</t>
  </si>
  <si>
    <t xml:space="preserve">Festive lift (Oct-Dec)</t>
  </si>
  <si>
    <t xml:space="preserve">Festive and winter lift</t>
  </si>
  <si>
    <t xml:space="preserve">Winter peak (Dec-Feb)</t>
  </si>
  <si>
    <t xml:space="preserve">Flat, festive lift</t>
  </si>
  <si>
    <t xml:space="preserve">Summer, pre-monsoon (Mar-Jul)</t>
  </si>
  <si>
    <t xml:space="preserve">B. Production plan (units per month)</t>
  </si>
  <si>
    <t xml:space="preserve">Batch size (units)</t>
  </si>
  <si>
    <t xml:space="preserve">Annual units</t>
  </si>
  <si>
    <t xml:space="preserve">Total units</t>
  </si>
  <si>
    <t xml:space="preserve">Revenue (₹ lakh)</t>
  </si>
  <si>
    <t xml:space="preserve">units x selling price, ex-GST</t>
  </si>
  <si>
    <t xml:space="preserve">C. Monthly revenue by product family (₹ lakh)</t>
  </si>
  <si>
    <t xml:space="preserve">Annual (₹ lakh)</t>
  </si>
  <si>
    <t xml:space="preserve">Total</t>
  </si>
  <si>
    <t xml:space="preserve">Seasonality indices are illustrative planning assumptions for the Indian market (fans and coolers peak in Apr-Jul, heaters and immersion rods in Dec-Feb, kitchen appliances around festivals and weddings). Replace with your own forecast.</t>
  </si>
  <si>
    <t xml:space="preserve">Chase strategy: the plan builds what is sold each month, so the Capacity sheet shows where peaks would need a 3rd shift, overtime or off-season pre-build.</t>
  </si>
  <si>
    <t xml:space="preserve">Material requirements (MRP) - gross kg needed each month</t>
  </si>
  <si>
    <t xml:space="preserve">Requirement = production plan (units) x gross kg per unit from BOM_Matrix, summed over all 15 products. Gross includes process yield loss.</t>
  </si>
  <si>
    <t xml:space="preserve">Annual gross (kg)</t>
  </si>
  <si>
    <t xml:space="preserve">Average / month (kg)</t>
  </si>
  <si>
    <t xml:space="preserve">Peak month (kg)</t>
  </si>
  <si>
    <t xml:space="preserve">Annual net (kg)</t>
  </si>
  <si>
    <t xml:space="preserve">Process scrap (kg)</t>
  </si>
  <si>
    <t xml:space="preserve">Scrap (%)</t>
  </si>
  <si>
    <t xml:space="preserve">all materials (kg)</t>
  </si>
  <si>
    <t xml:space="preserve">Monthly purchase value of the requirement at standard price (₹ lakh)</t>
  </si>
  <si>
    <t xml:space="preserve">Requirement is for production only (no sales of raw material). Net = kg that ends up in the product; scrap = gross - net (trimmings, runners, cut-offs); much of it is recoverable (steel, aluminium and plastic scrap is re-melted or re-ground and sold), which this model does not credit.</t>
  </si>
  <si>
    <t xml:space="preserve">Use the monthly figures to time purchase orders against each source's lead time on Sourcing; the Inventory sheet turns the next-3-month usage into reorder points.</t>
  </si>
  <si>
    <t xml:space="preserve">Capacity - load vs available hours by work centre</t>
  </si>
  <si>
    <t xml:space="preserve">Load hours = production plan x routing minutes / 60. Utilization = load / effective capacity (after OEE). Red = overload, amber = tight.</t>
  </si>
  <si>
    <t xml:space="preserve">A. Load (hours per month)</t>
  </si>
  <si>
    <t xml:space="preserve">Units</t>
  </si>
  <si>
    <t xml:space="preserve">Effective capacity (h / month)</t>
  </si>
  <si>
    <t xml:space="preserve">Average load (h)</t>
  </si>
  <si>
    <t xml:space="preserve">Peak load (h)</t>
  </si>
  <si>
    <t xml:space="preserve">all work centres (hours)</t>
  </si>
  <si>
    <t xml:space="preserve">B. Utilization (% of effective capacity) - heat map</t>
  </si>
  <si>
    <t xml:space="preserve">Average utilization</t>
  </si>
  <si>
    <t xml:space="preserve">Peak utilization</t>
  </si>
  <si>
    <t xml:space="preserve">Months over 100%</t>
  </si>
  <si>
    <t xml:space="preserve">Months at/above TIGHT level</t>
  </si>
  <si>
    <t xml:space="preserve">Status</t>
  </si>
  <si>
    <t xml:space="preserve">Peak shortfall (hours)</t>
  </si>
  <si>
    <t xml:space="preserve">Extra units needed at peak</t>
  </si>
  <si>
    <t xml:space="preserve">Reading</t>
  </si>
  <si>
    <t xml:space="preserve">Legend</t>
  </si>
  <si>
    <t xml:space="preserve">&gt; 100%  overload</t>
  </si>
  <si>
    <t xml:space="preserve">85-100%  tight</t>
  </si>
  <si>
    <t xml:space="preserve">50-85%  healthy</t>
  </si>
  <si>
    <t xml:space="preserve">&lt; 50%  under-used</t>
  </si>
  <si>
    <t xml:space="preserve">Effective capacity already includes OEE. 'Extra units needed at peak' = machines/stations that would remove the peak-month shortfall (alternatively a 3rd shift on 2-shift centres, overtime, or building stock in the off-season).</t>
  </si>
  <si>
    <t xml:space="preserve">A year-average utilization well below 100% can still hide seasonal overload: this is the central trade-off for fans, coolers and heaters.</t>
  </si>
  <si>
    <t xml:space="preserve">Raw-material inventory policy &amp; reorder status</t>
  </si>
  <si>
    <t xml:space="preserve">Snapshot from the Assumptions date. Reorder point = average daily usage x (weighted lead time + safety days). Status uses inventory position = on hand + on order.</t>
  </si>
  <si>
    <t xml:space="preserve">ABC class</t>
  </si>
  <si>
    <t xml:space="preserve">On hand (kg)</t>
  </si>
  <si>
    <t xml:space="preserve">On order (kg)</t>
  </si>
  <si>
    <t xml:space="preserve">Inventory position (kg)</t>
  </si>
  <si>
    <t xml:space="preserve">Avg daily usage, next 3 months (kg / day)</t>
  </si>
  <si>
    <t xml:space="preserve">Days of cover (on hand)</t>
  </si>
  <si>
    <t xml:space="preserve">Days of cover (incl. on order)</t>
  </si>
  <si>
    <t xml:space="preserve">Safety stock (days)</t>
  </si>
  <si>
    <t xml:space="preserve">Safety stock (kg)</t>
  </si>
  <si>
    <t xml:space="preserve">Reorder point (kg)</t>
  </si>
  <si>
    <t xml:space="preserve">Order-up-to level (kg)</t>
  </si>
  <si>
    <t xml:space="preserve">Suggested order (kg)</t>
  </si>
  <si>
    <t xml:space="preserve">Order lot (kg)</t>
  </si>
  <si>
    <t xml:space="preserve">Suggested order value (₹ lakh)</t>
  </si>
  <si>
    <t xml:space="preserve">Inventory value (₹ lakh)</t>
  </si>
  <si>
    <t xml:space="preserve">Cumulative spend share (ranked)</t>
  </si>
  <si>
    <t xml:space="preserve">Materials on WATCH</t>
  </si>
  <si>
    <t xml:space="preserve">Inventory value as days of annual RM spend</t>
  </si>
  <si>
    <t xml:space="preserve">On-hand and on-order quantities are illustrative inputs for the snapshot date (blue). Weighted lead time and safety days come from RawMaterials; usage comes from MRP (first 3 plan months, divided by calendar days).</t>
  </si>
  <si>
    <t xml:space="preserve">Order-up-to = reorder point + cover days (Assumptions). Suggested order rounds up to the order lot (MOQ of the main source). Safety days are set higher for imported and long-lead materials.</t>
  </si>
  <si>
    <t xml:space="preserve">ABC: materials ranked by annual spend; class A holds the first 80% of cumulative spend, B the next 15%, C the rest (cut-offs on Assumptions).</t>
  </si>
  <si>
    <t xml:space="preserve">Supplier x material spend matrix (₹ lakh per year)</t>
  </si>
  <si>
    <t xml:space="preserve">Annual spend = MRP gross kg x source split x effective price (from Sourcing). Shows who you depend on, and for what.</t>
  </si>
  <si>
    <t xml:space="preserve">Total (₹ lakh)</t>
  </si>
  <si>
    <t xml:space="preserve">Share of total</t>
  </si>
  <si>
    <t xml:space="preserve">all suppliers (₹ lakh)</t>
  </si>
  <si>
    <t xml:space="preserve">Share of total spend</t>
  </si>
  <si>
    <t xml:space="preserve">Largest supplier's share of the material</t>
  </si>
  <si>
    <t xml:space="preserve">Largest supplier</t>
  </si>
  <si>
    <t xml:space="preserve">Suppliers used (#)</t>
  </si>
  <si>
    <t xml:space="preserve">Concentration index (HHI, 0-1)</t>
  </si>
  <si>
    <t xml:space="preserve">Blue cells = spend of ₹2,000 lakh (₹20 crore) or more in one supplier-material pair. Amber = one supplier supplies 70% or more of that material's spend. HHI = sum of squared supplier shares (1.00 = single source).</t>
  </si>
  <si>
    <t xml:space="preserve">Spend uses effective prices, so a price change on RawMaterials (column H) shows up here, on the Dashboard, and in product margins.</t>
  </si>
  <si>
    <t xml:space="preserve">Every check is a live formula. A failing check usually means a mistyped ID, a source share that no longer adds to 100%, or an edit that broke a cross-foot.</t>
  </si>
  <si>
    <t xml:space="preserve">Overall</t>
  </si>
  <si>
    <t xml:space="preserve">#</t>
  </si>
  <si>
    <t xml:space="preserve">Check</t>
  </si>
  <si>
    <t xml:space="preserve">Result</t>
  </si>
  <si>
    <t xml:space="preserve">Value tested</t>
  </si>
  <si>
    <t xml:space="preserve">Product IDs are unique and there are 15 products</t>
  </si>
  <si>
    <t xml:space="preserve">Raw-material IDs are unique and there are 10 materials</t>
  </si>
  <si>
    <t xml:space="preserve">Supplier IDs are unique and there are 10 suppliers</t>
  </si>
  <si>
    <t xml:space="preserve">Work-centre IDs are unique (9 work centres)</t>
  </si>
  <si>
    <t xml:space="preserve">Every raw material has at least one source</t>
  </si>
  <si>
    <t xml:space="preserve">Every supplier supplies at least one material</t>
  </si>
  <si>
    <t xml:space="preserve">Source shares add to 100% for every material</t>
  </si>
  <si>
    <t xml:space="preserve">Every BOM line points to a valid product and raw material</t>
  </si>
  <si>
    <t xml:space="preserve">Every product has at least one BOM line</t>
  </si>
  <si>
    <t xml:space="preserve">Every sourcing link points to a valid material and supplier</t>
  </si>
  <si>
    <t xml:space="preserve">Process yields are between 0% and 100%</t>
  </si>
  <si>
    <t xml:space="preserve">Seasonality indices average 1.00 for every product (within 0.005)</t>
  </si>
  <si>
    <t xml:space="preserve">Product order is identical on Products, Demand_Plan, BOM_Matrix and Routing</t>
  </si>
  <si>
    <t xml:space="preserve">Work-centre order matches Routing columns and Capacity rows</t>
  </si>
  <si>
    <t xml:space="preserve">Raw-material order matches BOM_Matrix columns, MRP rows and Spend columns</t>
  </si>
  <si>
    <t xml:space="preserve">BOM_Matrix gross kg total equals BOM gross kg total</t>
  </si>
  <si>
    <t xml:space="preserve">BOM_Matrix cost total equals BOM cost total</t>
  </si>
  <si>
    <t xml:space="preserve">Raw-material cost by assembly module adds back to the product RM cost</t>
  </si>
  <si>
    <t xml:space="preserve">Products RM cost equals BOM_Matrix RM cost for every product</t>
  </si>
  <si>
    <t xml:space="preserve">MRP annual gross kg equals plan units x gross kg per unit (independent path)</t>
  </si>
  <si>
    <t xml:space="preserve">Sourcing volumes add up to MRP volumes</t>
  </si>
  <si>
    <t xml:space="preserve">Spend matrix total equals sum of MRP kg x standard price</t>
  </si>
  <si>
    <t xml:space="preserve">Supplier annual spend (Suppliers) equals the spend matrix total</t>
  </si>
  <si>
    <t xml:space="preserve">MRP monthly purchase value equals the spend matrix total</t>
  </si>
  <si>
    <t xml:space="preserve">Products revenue equals Demand_Plan revenue</t>
  </si>
  <si>
    <t xml:space="preserve">Revenue by family adds up to total revenue</t>
  </si>
  <si>
    <t xml:space="preserve">Capacity load hours equal plan units x routing minutes / 60 (independent path)</t>
  </si>
  <si>
    <t xml:space="preserve">Conversion cost build-up equals minutes x work-centre rate / 60</t>
  </si>
  <si>
    <t xml:space="preserve">Each product is assembled on exactly one final-assembly line, with minutes &gt; 0</t>
  </si>
  <si>
    <t xml:space="preserve">Every product has a positive gross margin</t>
  </si>
  <si>
    <t xml:space="preserve">No work centre averages above 100% utilization over the year</t>
  </si>
  <si>
    <t xml:space="preserve">Inventory ABC ranking reaches 100% cumulative spend and usage is positive</t>
  </si>
  <si>
    <t xml:space="preserve">Supplier performance inputs are in valid ranges (OTD, rejection 0-100%, score 0-100)</t>
  </si>
  <si>
    <t xml:space="preserve">Cross-foot checks compare two independent routes to the same total (for example MRP via the BOM matrix vs. plan units x gross kg per unit), which catches broken ranges and misaligned rows.</t>
  </si>
</sst>
</file>

<file path=xl/styles.xml><?xml version="1.0" encoding="utf-8"?>
<styleSheet xmlns="http://schemas.openxmlformats.org/spreadsheetml/2006/main">
  <numFmts count="20">
    <numFmt numFmtId="164" formatCode="General"/>
    <numFmt numFmtId="165" formatCode="#,##0"/>
    <numFmt numFmtId="166" formatCode="&quot;₹ &quot;#,##0.0&quot; cr&quot;"/>
    <numFmt numFmtId="167" formatCode="0.0%"/>
    <numFmt numFmtId="168" formatCode="0%"/>
    <numFmt numFmtId="169" formatCode="mmm\-yy"/>
    <numFmt numFmtId="170" formatCode="0.000"/>
    <numFmt numFmtId="171" formatCode="#,##0.0"/>
    <numFmt numFmtId="172" formatCode="0"/>
    <numFmt numFmtId="173" formatCode="dd\-mmm\-yyyy"/>
    <numFmt numFmtId="174" formatCode="0.00"/>
    <numFmt numFmtId="175" formatCode="0.0%;\-0.0%;0.0%"/>
    <numFmt numFmtId="176" formatCode="0.0"/>
    <numFmt numFmtId="177" formatCode="#,##0.00"/>
    <numFmt numFmtId="178" formatCode="0.00;\-0.00;\–"/>
    <numFmt numFmtId="179" formatCode="#,##0.0;\-#,##0.0;\–"/>
    <numFmt numFmtId="180" formatCode="#,##0.000;\-#,##0.000;\–"/>
    <numFmt numFmtId="181" formatCode="0.00;\-0.00;&quot;OK&quot;"/>
    <numFmt numFmtId="182" formatCode="#,##0;\-#,##0;\–"/>
    <numFmt numFmtId="183" formatCode="0.0000"/>
  </numFmts>
  <fonts count="34">
    <font>
      <sz val="11"/>
      <color theme="1"/>
      <name val="Calibri"/>
      <family val="2"/>
      <charset val="1"/>
    </font>
    <font>
      <sz val="10"/>
      <name val="Arial"/>
      <family val="0"/>
    </font>
    <font>
      <sz val="10"/>
      <name val="Arial"/>
      <family val="0"/>
    </font>
    <font>
      <sz val="10"/>
      <name val="Arial"/>
      <family val="0"/>
    </font>
    <font>
      <b val="true"/>
      <sz val="18"/>
      <color rgb="FF1B3A5C"/>
      <name val="Arial"/>
      <family val="0"/>
      <charset val="1"/>
    </font>
    <font>
      <i val="true"/>
      <sz val="10"/>
      <color rgb="FF595959"/>
      <name val="Arial"/>
      <family val="0"/>
      <charset val="1"/>
    </font>
    <font>
      <b val="true"/>
      <sz val="11"/>
      <color rgb="FF1B3A5C"/>
      <name val="Arial"/>
      <family val="0"/>
      <charset val="1"/>
    </font>
    <font>
      <sz val="10"/>
      <color rgb="FF262626"/>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u val="single"/>
      <sz val="10"/>
      <color rgb="FF0B5CAD"/>
      <name val="Arial"/>
      <family val="0"/>
      <charset val="1"/>
    </font>
    <font>
      <b val="true"/>
      <sz val="10"/>
      <color rgb="FF0000FF"/>
      <name val="Arial"/>
      <family val="0"/>
      <charset val="1"/>
    </font>
    <font>
      <b val="true"/>
      <sz val="10"/>
      <color rgb="FF008000"/>
      <name val="Arial"/>
      <family val="0"/>
      <charset val="1"/>
    </font>
    <font>
      <b val="true"/>
      <sz val="16"/>
      <color rgb="FF1B3A5C"/>
      <name val="Arial"/>
      <family val="0"/>
      <charset val="1"/>
    </font>
    <font>
      <i val="true"/>
      <sz val="9"/>
      <color rgb="FF595959"/>
      <name val="Arial"/>
      <family val="0"/>
      <charset val="1"/>
    </font>
    <font>
      <b val="true"/>
      <sz val="9"/>
      <color rgb="FF595959"/>
      <name val="Arial"/>
      <family val="0"/>
      <charset val="1"/>
    </font>
    <font>
      <sz val="8"/>
      <color rgb="FF595959"/>
      <name val="Arial"/>
      <family val="0"/>
      <charset val="1"/>
    </font>
    <font>
      <b val="true"/>
      <sz val="11"/>
      <color rgb="FF1B3A5C"/>
      <name val="Arial"/>
      <family val="2"/>
    </font>
    <font>
      <sz val="8"/>
      <color rgb="FF404040"/>
      <name val="Arial"/>
      <family val="2"/>
    </font>
    <font>
      <sz val="8"/>
      <color rgb="FF595959"/>
      <name val="Arial"/>
      <family val="2"/>
    </font>
    <font>
      <sz val="7"/>
      <color rgb="FF404040"/>
      <name val="Arial"/>
      <family val="2"/>
    </font>
    <font>
      <b val="true"/>
      <sz val="15"/>
      <color rgb="FF1B3A5C"/>
      <name val="Arial"/>
      <family val="0"/>
      <charset val="1"/>
    </font>
    <font>
      <sz val="10"/>
      <color rgb="FF0000FF"/>
      <name val="Arial"/>
      <family val="0"/>
      <charset val="1"/>
    </font>
    <font>
      <sz val="10"/>
      <color rgb="FF008000"/>
      <name val="Arial"/>
      <family val="0"/>
      <charset val="1"/>
    </font>
    <font>
      <sz val="10"/>
      <name val="Arial"/>
      <family val="2"/>
    </font>
    <font>
      <sz val="9"/>
      <color rgb="FF008000"/>
      <name val="Arial"/>
      <family val="0"/>
      <charset val="1"/>
    </font>
    <font>
      <sz val="8"/>
      <color rgb="FF008000"/>
      <name val="Arial"/>
      <family val="0"/>
      <charset val="1"/>
    </font>
    <font>
      <sz val="9"/>
      <color rgb="FF000000"/>
      <name val="Arial"/>
      <family val="0"/>
      <charset val="1"/>
    </font>
    <font>
      <b val="true"/>
      <sz val="10"/>
      <color rgb="FF9C0006"/>
      <name val="Arial"/>
      <family val="0"/>
      <charset val="1"/>
    </font>
    <font>
      <b val="true"/>
      <sz val="10"/>
      <color rgb="FF7F4F00"/>
      <name val="Arial"/>
      <family val="0"/>
      <charset val="1"/>
    </font>
    <font>
      <b val="true"/>
      <sz val="10"/>
      <color rgb="FF006100"/>
      <name val="Arial"/>
      <family val="0"/>
      <charset val="1"/>
    </font>
    <font>
      <b val="true"/>
      <sz val="10"/>
      <color rgb="FF595959"/>
      <name val="Arial"/>
      <family val="0"/>
      <charset val="1"/>
    </font>
    <font>
      <b val="true"/>
      <sz val="11"/>
      <color rgb="FF000000"/>
      <name val="Arial"/>
      <family val="0"/>
      <charset val="1"/>
    </font>
  </fonts>
  <fills count="11">
    <fill>
      <patternFill patternType="none"/>
    </fill>
    <fill>
      <patternFill patternType="gray125"/>
    </fill>
    <fill>
      <patternFill patternType="solid">
        <fgColor rgb="FFE8EEF5"/>
        <bgColor rgb="FFEDEDED"/>
      </patternFill>
    </fill>
    <fill>
      <patternFill patternType="solid">
        <fgColor rgb="FF1B3A5C"/>
        <bgColor rgb="FF0D366B"/>
      </patternFill>
    </fill>
    <fill>
      <patternFill patternType="solid">
        <fgColor rgb="FFFFF2CC"/>
        <bgColor rgb="FFEDEDED"/>
      </patternFill>
    </fill>
    <fill>
      <patternFill patternType="solid">
        <fgColor rgb="FFF2F6FB"/>
        <bgColor rgb="FFF3F4F6"/>
      </patternFill>
    </fill>
    <fill>
      <patternFill patternType="solid">
        <fgColor rgb="FFF3F4F6"/>
        <bgColor rgb="FFF2F6FB"/>
      </patternFill>
    </fill>
    <fill>
      <patternFill patternType="solid">
        <fgColor rgb="FFFFC7CE"/>
        <bgColor rgb="FFD9D9D9"/>
      </patternFill>
    </fill>
    <fill>
      <patternFill patternType="solid">
        <fgColor rgb="FFFFEB9C"/>
        <bgColor rgb="FFFFF2CC"/>
      </patternFill>
    </fill>
    <fill>
      <patternFill patternType="solid">
        <fgColor rgb="FFC6EFCE"/>
        <bgColor rgb="FFCDE2FB"/>
      </patternFill>
    </fill>
    <fill>
      <patternFill patternType="solid">
        <fgColor rgb="FFEDEDED"/>
        <bgColor rgb="FFE8EEF5"/>
      </patternFill>
    </fill>
  </fills>
  <borders count="6">
    <border diagonalUp="false" diagonalDown="false">
      <left/>
      <right/>
      <top/>
      <bottom/>
      <diagonal/>
    </border>
    <border diagonalUp="false" diagonalDown="false">
      <left/>
      <right/>
      <top/>
      <bottom style="thin">
        <color rgb="FF1B3A5C"/>
      </bottom>
      <diagonal/>
    </border>
    <border diagonalUp="false" diagonalDown="false">
      <left style="thin">
        <color rgb="FFC9D3E0"/>
      </left>
      <right style="thin">
        <color rgb="FFC9D3E0"/>
      </right>
      <top style="thin">
        <color rgb="FFC9D3E0"/>
      </top>
      <bottom style="thin">
        <color rgb="FFC9D3E0"/>
      </bottom>
      <diagonal/>
    </border>
    <border diagonalUp="false" diagonalDown="false">
      <left style="thin">
        <color rgb="FFC9D3E0"/>
      </left>
      <right style="thin">
        <color rgb="FFC9D3E0"/>
      </right>
      <top style="thin">
        <color rgb="FFC9D3E0"/>
      </top>
      <bottom/>
      <diagonal/>
    </border>
    <border diagonalUp="false" diagonalDown="false">
      <left style="thin">
        <color rgb="FFC9D3E0"/>
      </left>
      <right style="thin">
        <color rgb="FFC9D3E0"/>
      </right>
      <top/>
      <bottom/>
      <diagonal/>
    </border>
    <border diagonalUp="false" diagonalDown="false">
      <left style="thin">
        <color rgb="FFC9D3E0"/>
      </left>
      <right style="thin">
        <color rgb="FFC9D3E0"/>
      </right>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left" vertical="center" textRotation="0" wrapText="false" indent="1" shrinkToFit="false"/>
      <protection locked="true" hidden="false"/>
    </xf>
    <xf numFmtId="164" fontId="9" fillId="0" borderId="2"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false" indent="1"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1" shrinkToFit="false"/>
      <protection locked="true" hidden="false"/>
    </xf>
    <xf numFmtId="164" fontId="12" fillId="0" borderId="2" xfId="0" applyFont="true" applyBorder="true" applyAlignment="true" applyProtection="false">
      <alignment horizontal="left" vertical="center" textRotation="0" wrapText="false" indent="1" shrinkToFit="false"/>
      <protection locked="true" hidden="false"/>
    </xf>
    <xf numFmtId="164" fontId="13" fillId="0" borderId="2" xfId="0" applyFont="true" applyBorder="true" applyAlignment="true" applyProtection="false">
      <alignment horizontal="left" vertical="center" textRotation="0" wrapText="false" indent="1" shrinkToFit="false"/>
      <protection locked="true" hidden="false"/>
    </xf>
    <xf numFmtId="164" fontId="12" fillId="4" borderId="2" xfId="0" applyFont="true" applyBorder="true" applyAlignment="true" applyProtection="false">
      <alignment horizontal="left" vertical="center" textRotation="0" wrapText="false" indent="1"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5" borderId="3" xfId="0" applyFont="true" applyBorder="true" applyAlignment="true" applyProtection="false">
      <alignment horizontal="center" vertical="center" textRotation="0" wrapText="true" indent="0" shrinkToFit="false"/>
      <protection locked="true" hidden="false"/>
    </xf>
    <xf numFmtId="165" fontId="4" fillId="5" borderId="4" xfId="0" applyFont="true" applyBorder="true" applyAlignment="true" applyProtection="false">
      <alignment horizontal="center" vertical="center" textRotation="0" wrapText="false" indent="0" shrinkToFit="false"/>
      <protection locked="true" hidden="false"/>
    </xf>
    <xf numFmtId="166" fontId="4" fillId="5" borderId="4" xfId="0" applyFont="true" applyBorder="true" applyAlignment="true" applyProtection="false">
      <alignment horizontal="center" vertical="center" textRotation="0" wrapText="false" indent="0" shrinkToFit="false"/>
      <protection locked="true" hidden="false"/>
    </xf>
    <xf numFmtId="167" fontId="4" fillId="5" borderId="4" xfId="0" applyFont="true" applyBorder="true" applyAlignment="true" applyProtection="false">
      <alignment horizontal="center" vertical="center" textRotation="0" wrapText="false" indent="0" shrinkToFit="false"/>
      <protection locked="true" hidden="false"/>
    </xf>
    <xf numFmtId="168" fontId="4" fillId="5" borderId="4" xfId="0" applyFont="true" applyBorder="true" applyAlignment="true" applyProtection="false">
      <alignment horizontal="center" vertical="center" textRotation="0" wrapText="false" indent="0" shrinkToFit="false"/>
      <protection locked="true" hidden="false"/>
    </xf>
    <xf numFmtId="164" fontId="17" fillId="5" borderId="5" xfId="0" applyFont="true" applyBorder="true" applyAlignment="true" applyProtection="false">
      <alignment horizontal="center" vertical="center" textRotation="0" wrapText="true" indent="0" shrinkToFit="false"/>
      <protection locked="true" hidden="false"/>
    </xf>
    <xf numFmtId="164" fontId="4" fillId="5" borderId="4"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9" fontId="10" fillId="3" borderId="2" xfId="0" applyFont="true" applyBorder="true" applyAlignment="true" applyProtection="false">
      <alignment horizontal="center" vertical="center" textRotation="0" wrapText="true" indent="0" shrinkToFit="false"/>
      <protection locked="true" hidden="false"/>
    </xf>
    <xf numFmtId="168" fontId="9" fillId="0"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70" fontId="17" fillId="0" borderId="2" xfId="0" applyFont="true" applyBorder="true" applyAlignment="true" applyProtection="false">
      <alignment horizontal="right" vertical="center" textRotation="0" wrapText="false" indent="0" shrinkToFit="false"/>
      <protection locked="true" hidden="false"/>
    </xf>
    <xf numFmtId="168" fontId="9" fillId="0" borderId="2"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71" fontId="9" fillId="0" borderId="2" xfId="0" applyFont="true" applyBorder="true" applyAlignment="true" applyProtection="false">
      <alignment horizontal="right"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23" fillId="0" borderId="2" xfId="0" applyFont="true" applyBorder="true" applyAlignment="true" applyProtection="false">
      <alignment horizontal="left" vertical="center" textRotation="0" wrapText="false" indent="1" shrinkToFit="false"/>
      <protection locked="true" hidden="false"/>
    </xf>
    <xf numFmtId="164" fontId="5" fillId="0" borderId="2" xfId="0" applyFont="true" applyBorder="true" applyAlignment="true" applyProtection="false">
      <alignment horizontal="left" vertical="center" textRotation="0" wrapText="true" indent="1" shrinkToFit="false"/>
      <protection locked="true" hidden="false"/>
    </xf>
    <xf numFmtId="173" fontId="23" fillId="0" borderId="2" xfId="0" applyFont="true" applyBorder="true" applyAlignment="true" applyProtection="false">
      <alignment horizontal="right" vertical="center" textRotation="0" wrapText="false" indent="0" shrinkToFit="false"/>
      <protection locked="true" hidden="false"/>
    </xf>
    <xf numFmtId="165" fontId="23" fillId="0" borderId="2" xfId="0" applyFont="true" applyBorder="true" applyAlignment="true" applyProtection="false">
      <alignment horizontal="right" vertical="center" textRotation="0" wrapText="false" indent="0" shrinkToFit="false"/>
      <protection locked="true" hidden="false"/>
    </xf>
    <xf numFmtId="174" fontId="23" fillId="4" borderId="2" xfId="0" applyFont="true" applyBorder="true" applyAlignment="true" applyProtection="false">
      <alignment horizontal="right" vertical="center" textRotation="0" wrapText="false" indent="0" shrinkToFit="false"/>
      <protection locked="true" hidden="false"/>
    </xf>
    <xf numFmtId="168" fontId="23" fillId="0" borderId="2" xfId="0" applyFont="true" applyBorder="true" applyAlignment="true" applyProtection="false">
      <alignment horizontal="right" vertical="center" textRotation="0" wrapText="false" indent="0" shrinkToFit="false"/>
      <protection locked="true" hidden="false"/>
    </xf>
    <xf numFmtId="164" fontId="23" fillId="0"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false" indent="1" shrinkToFit="false"/>
      <protection locked="true" hidden="false"/>
    </xf>
    <xf numFmtId="171" fontId="24" fillId="0" borderId="2" xfId="0" applyFont="true" applyBorder="true" applyAlignment="true" applyProtection="false">
      <alignment horizontal="right" vertical="center" textRotation="0" wrapText="false" indent="0" shrinkToFit="false"/>
      <protection locked="true" hidden="false"/>
    </xf>
    <xf numFmtId="165" fontId="24" fillId="0" borderId="2" xfId="0" applyFont="true" applyBorder="true" applyAlignment="true" applyProtection="false">
      <alignment horizontal="right"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1" shrinkToFit="false"/>
      <protection locked="true" hidden="false"/>
    </xf>
    <xf numFmtId="164" fontId="9" fillId="6" borderId="2" xfId="0" applyFont="true" applyBorder="true" applyAlignment="true" applyProtection="false">
      <alignment horizontal="left" vertical="center" textRotation="0" wrapText="false" indent="1" shrinkToFit="false"/>
      <protection locked="true" hidden="false"/>
    </xf>
    <xf numFmtId="167" fontId="8" fillId="6" borderId="2" xfId="0" applyFont="true" applyBorder="true" applyAlignment="true" applyProtection="false">
      <alignment horizontal="right" vertical="center" textRotation="0" wrapText="false" indent="0" shrinkToFit="false"/>
      <protection locked="true" hidden="false"/>
    </xf>
    <xf numFmtId="165" fontId="8" fillId="6" borderId="2" xfId="0" applyFont="true" applyBorder="true" applyAlignment="true" applyProtection="false">
      <alignment horizontal="right" vertical="center" textRotation="0" wrapText="false" indent="0" shrinkToFit="false"/>
      <protection locked="true" hidden="false"/>
    </xf>
    <xf numFmtId="171" fontId="8" fillId="6" borderId="2" xfId="0" applyFont="true" applyBorder="true" applyAlignment="true" applyProtection="false">
      <alignment horizontal="right" vertical="center" textRotation="0" wrapText="false" indent="0" shrinkToFit="false"/>
      <protection locked="true" hidden="false"/>
    </xf>
    <xf numFmtId="175" fontId="23" fillId="4" borderId="2" xfId="0" applyFont="true" applyBorder="true" applyAlignment="true" applyProtection="false">
      <alignment horizontal="right" vertical="center" textRotation="0" wrapText="false" indent="0" shrinkToFit="false"/>
      <protection locked="true" hidden="false"/>
    </xf>
    <xf numFmtId="174" fontId="23" fillId="0" borderId="2" xfId="0" applyFont="true" applyBorder="true" applyAlignment="true" applyProtection="false">
      <alignment horizontal="right"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7" fontId="23" fillId="0" borderId="2" xfId="0" applyFont="true" applyBorder="true" applyAlignment="true" applyProtection="false">
      <alignment horizontal="right" vertical="center" textRotation="0" wrapText="false" indent="0" shrinkToFit="false"/>
      <protection locked="true" hidden="false"/>
    </xf>
    <xf numFmtId="176" fontId="23" fillId="0" borderId="2" xfId="0" applyFont="true" applyBorder="true" applyAlignment="true" applyProtection="false">
      <alignment horizontal="right" vertical="center" textRotation="0" wrapText="false" indent="0" shrinkToFit="false"/>
      <protection locked="true" hidden="false"/>
    </xf>
    <xf numFmtId="171" fontId="23" fillId="0" borderId="2"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1" shrinkToFit="false"/>
      <protection locked="true" hidden="false"/>
    </xf>
    <xf numFmtId="170" fontId="23" fillId="0" borderId="2" xfId="0" applyFont="true" applyBorder="true" applyAlignment="true" applyProtection="false">
      <alignment horizontal="right" vertical="center" textRotation="0" wrapText="false" indent="0" shrinkToFit="false"/>
      <protection locked="true" hidden="false"/>
    </xf>
    <xf numFmtId="174" fontId="24" fillId="0" borderId="2" xfId="0" applyFont="true" applyBorder="true" applyAlignment="true" applyProtection="false">
      <alignment horizontal="right" vertical="center" textRotation="0" wrapText="false" indent="0" shrinkToFit="false"/>
      <protection locked="true" hidden="false"/>
    </xf>
    <xf numFmtId="170" fontId="9" fillId="0" borderId="2" xfId="0" applyFont="true" applyBorder="true" applyAlignment="true" applyProtection="false">
      <alignment horizontal="right" vertical="center" textRotation="0" wrapText="false" indent="0" shrinkToFit="false"/>
      <protection locked="true" hidden="false"/>
    </xf>
    <xf numFmtId="177" fontId="9" fillId="0" borderId="2" xfId="0" applyFont="true" applyBorder="true" applyAlignment="true" applyProtection="false">
      <alignment horizontal="right" vertical="center" textRotation="0" wrapText="false" indent="0" shrinkToFit="false"/>
      <protection locked="true" hidden="false"/>
    </xf>
    <xf numFmtId="164" fontId="8" fillId="2" borderId="2" xfId="0" applyFont="true" applyBorder="true" applyAlignment="true" applyProtection="false">
      <alignment horizontal="left" vertical="center" textRotation="0" wrapText="false" indent="1" shrinkToFit="false"/>
      <protection locked="true" hidden="false"/>
    </xf>
    <xf numFmtId="164" fontId="9" fillId="2" borderId="2" xfId="0" applyFont="true" applyBorder="true" applyAlignment="true" applyProtection="false">
      <alignment horizontal="left" vertical="center" textRotation="0" wrapText="false" indent="1" shrinkToFit="false"/>
      <protection locked="true" hidden="false"/>
    </xf>
    <xf numFmtId="164" fontId="26" fillId="2" borderId="2" xfId="0" applyFont="true" applyBorder="true" applyAlignment="true" applyProtection="false">
      <alignment horizontal="center" vertical="center" textRotation="0" wrapText="true" indent="0" shrinkToFit="false"/>
      <protection locked="true" hidden="false"/>
    </xf>
    <xf numFmtId="178" fontId="23" fillId="0" borderId="2" xfId="0" applyFont="true" applyBorder="true" applyAlignment="true" applyProtection="false">
      <alignment horizontal="right" vertical="center" textRotation="0" wrapText="false" indent="0" shrinkToFit="false"/>
      <protection locked="true" hidden="false"/>
    </xf>
    <xf numFmtId="174" fontId="9" fillId="0" borderId="2" xfId="0" applyFont="true" applyBorder="true" applyAlignment="true" applyProtection="false">
      <alignment horizontal="right" vertical="center" textRotation="0" wrapText="false" indent="0" shrinkToFit="false"/>
      <protection locked="true" hidden="false"/>
    </xf>
    <xf numFmtId="165" fontId="9" fillId="6" borderId="2" xfId="0" applyFont="true" applyBorder="true" applyAlignment="true" applyProtection="false">
      <alignment horizontal="center" vertical="center" textRotation="0" wrapText="false" indent="0" shrinkToFit="false"/>
      <protection locked="true" hidden="false"/>
    </xf>
    <xf numFmtId="174" fontId="9" fillId="6" borderId="2" xfId="0" applyFont="true" applyBorder="true" applyAlignment="true" applyProtection="false">
      <alignment horizontal="right" vertical="center" textRotation="0" wrapText="false" indent="0" shrinkToFit="false"/>
      <protection locked="true" hidden="false"/>
    </xf>
    <xf numFmtId="179" fontId="9" fillId="0" borderId="2" xfId="0" applyFont="true" applyBorder="true" applyAlignment="true" applyProtection="false">
      <alignment horizontal="right" vertical="center" textRotation="0" wrapText="false" indent="0" shrinkToFit="false"/>
      <protection locked="true" hidden="false"/>
    </xf>
    <xf numFmtId="171" fontId="8" fillId="0" borderId="2" xfId="0" applyFont="true" applyBorder="true" applyAlignment="true" applyProtection="false">
      <alignment horizontal="right" vertical="center" textRotation="0" wrapText="false" indent="0" shrinkToFit="false"/>
      <protection locked="true" hidden="false"/>
    </xf>
    <xf numFmtId="164" fontId="27" fillId="2" borderId="2" xfId="0" applyFont="true" applyBorder="true" applyAlignment="true" applyProtection="false">
      <alignment horizontal="center" vertical="center" textRotation="0" wrapText="true" indent="0" shrinkToFit="false"/>
      <protection locked="true" hidden="false"/>
    </xf>
    <xf numFmtId="180" fontId="9" fillId="0" borderId="2" xfId="0" applyFont="true" applyBorder="true" applyAlignment="true" applyProtection="false">
      <alignment horizontal="right" vertical="center" textRotation="0" wrapText="false" indent="0" shrinkToFit="false"/>
      <protection locked="true" hidden="false"/>
    </xf>
    <xf numFmtId="170" fontId="8" fillId="0" borderId="2" xfId="0" applyFont="true" applyBorder="true" applyAlignment="true" applyProtection="false">
      <alignment horizontal="right" vertical="center" textRotation="0" wrapText="false" indent="0" shrinkToFit="false"/>
      <protection locked="true" hidden="false"/>
    </xf>
    <xf numFmtId="164" fontId="28" fillId="0" borderId="2" xfId="0" applyFont="true" applyBorder="true" applyAlignment="true" applyProtection="false">
      <alignment horizontal="left" vertical="center" textRotation="0" wrapText="false" indent="1" shrinkToFit="false"/>
      <protection locked="true" hidden="false"/>
    </xf>
    <xf numFmtId="181" fontId="9" fillId="0" borderId="2" xfId="0" applyFont="true" applyBorder="true" applyAlignment="true" applyProtection="false">
      <alignment horizontal="center" vertical="center" textRotation="0" wrapText="false" indent="0" shrinkToFit="false"/>
      <protection locked="true" hidden="false"/>
    </xf>
    <xf numFmtId="174" fontId="24" fillId="0" borderId="2" xfId="0" applyFont="true" applyBorder="true" applyAlignment="true" applyProtection="false">
      <alignment horizontal="center" vertical="center" textRotation="0" wrapText="false" indent="0" shrinkToFit="false"/>
      <protection locked="true" hidden="false"/>
    </xf>
    <xf numFmtId="174" fontId="9" fillId="0" borderId="2" xfId="0" applyFont="true" applyBorder="true" applyAlignment="true" applyProtection="false">
      <alignment horizontal="center" vertical="center" textRotation="0" wrapText="false" indent="0" shrinkToFit="false"/>
      <protection locked="true" hidden="false"/>
    </xf>
    <xf numFmtId="174" fontId="23" fillId="0" borderId="2" xfId="0" applyFont="true" applyBorder="true" applyAlignment="true" applyProtection="false">
      <alignment horizontal="center" vertical="center" textRotation="0" wrapText="false" indent="0" shrinkToFit="false"/>
      <protection locked="true" hidden="false"/>
    </xf>
    <xf numFmtId="165" fontId="8" fillId="0" borderId="2" xfId="0" applyFont="true" applyBorder="true" applyAlignment="true" applyProtection="false">
      <alignment horizontal="right" vertical="center" textRotation="0" wrapText="false" indent="0" shrinkToFit="false"/>
      <protection locked="true" hidden="false"/>
    </xf>
    <xf numFmtId="169" fontId="9" fillId="0" borderId="2" xfId="0" applyFont="true" applyBorder="true" applyAlignment="true" applyProtection="false">
      <alignment horizontal="center" vertical="center" textRotation="0" wrapText="false" indent="0" shrinkToFit="false"/>
      <protection locked="true" hidden="false"/>
    </xf>
    <xf numFmtId="169" fontId="9" fillId="6" borderId="2" xfId="0" applyFont="true" applyBorder="true" applyAlignment="true" applyProtection="false">
      <alignment horizontal="center" vertical="center" textRotation="0" wrapText="false" indent="0" shrinkToFit="false"/>
      <protection locked="true" hidden="false"/>
    </xf>
    <xf numFmtId="164" fontId="5" fillId="6" borderId="2" xfId="0" applyFont="true" applyBorder="true" applyAlignment="true" applyProtection="false">
      <alignment horizontal="left" vertical="center" textRotation="0" wrapText="false" indent="1" shrinkToFit="false"/>
      <protection locked="true" hidden="false"/>
    </xf>
    <xf numFmtId="168" fontId="8"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29" fillId="7" borderId="2" xfId="0" applyFont="true" applyBorder="true" applyAlignment="true" applyProtection="false">
      <alignment horizontal="center" vertical="center" textRotation="0" wrapText="false" indent="0" shrinkToFit="false"/>
      <protection locked="true" hidden="false"/>
    </xf>
    <xf numFmtId="164" fontId="30" fillId="8" borderId="2" xfId="0" applyFont="true" applyBorder="true" applyAlignment="true" applyProtection="false">
      <alignment horizontal="center" vertical="center" textRotation="0" wrapText="false" indent="0" shrinkToFit="false"/>
      <protection locked="true" hidden="false"/>
    </xf>
    <xf numFmtId="164" fontId="31" fillId="9" borderId="2" xfId="0" applyFont="true" applyBorder="true" applyAlignment="true" applyProtection="false">
      <alignment horizontal="center" vertical="center" textRotation="0" wrapText="false" indent="0" shrinkToFit="false"/>
      <protection locked="true" hidden="false"/>
    </xf>
    <xf numFmtId="164" fontId="32" fillId="10" borderId="2" xfId="0" applyFont="true" applyBorder="true" applyAlignment="true" applyProtection="false">
      <alignment horizontal="center" vertical="center" textRotation="0" wrapText="false" indent="0" shrinkToFit="false"/>
      <protection locked="true" hidden="false"/>
    </xf>
    <xf numFmtId="182" fontId="9" fillId="0" borderId="2" xfId="0" applyFont="true" applyBorder="true" applyAlignment="true" applyProtection="false">
      <alignment horizontal="right" vertical="center" textRotation="0" wrapText="false" indent="0" shrinkToFit="false"/>
      <protection locked="true" hidden="false"/>
    </xf>
    <xf numFmtId="165" fontId="8" fillId="0" borderId="2" xfId="0" applyFont="true" applyBorder="true" applyAlignment="true" applyProtection="false">
      <alignment horizontal="center" vertical="center" textRotation="0" wrapText="false" indent="0" shrinkToFit="false"/>
      <protection locked="true" hidden="false"/>
    </xf>
    <xf numFmtId="171" fontId="8" fillId="0" borderId="2" xfId="0" applyFont="true" applyBorder="true" applyAlignment="true" applyProtection="false">
      <alignment horizontal="center" vertical="center" textRotation="0" wrapText="false" indent="0" shrinkToFit="false"/>
      <protection locked="true" hidden="false"/>
    </xf>
    <xf numFmtId="167" fontId="9" fillId="6"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74" fontId="9" fillId="6" borderId="2"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1" shrinkToFit="false"/>
      <protection locked="true" hidden="false"/>
    </xf>
    <xf numFmtId="183" fontId="9"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D03B3B"/>
        <sz val="18"/>
      </font>
    </dxf>
    <dxf>
      <font>
        <name val="Arial"/>
        <charset val="1"/>
        <family val="0"/>
        <b val="1"/>
        <color rgb="FF9C0006"/>
      </font>
      <fill>
        <patternFill>
          <bgColor rgb="FFFFC7CE"/>
        </patternFill>
      </fill>
    </dxf>
    <dxf>
      <font>
        <name val="Arial"/>
        <charset val="1"/>
        <family val="0"/>
        <color rgb="FF7F4F00"/>
      </font>
      <fill>
        <patternFill>
          <bgColor rgb="FFFFEB9C"/>
        </patternFill>
      </fill>
    </dxf>
    <dxf>
      <font>
        <name val="Arial"/>
        <charset val="1"/>
        <family val="0"/>
        <color rgb="FF595959"/>
      </font>
      <fill>
        <patternFill>
          <bgColor rgb="FFEDEDED"/>
        </patternFill>
      </fill>
    </dxf>
    <dxf>
      <font>
        <name val="Arial"/>
        <charset val="1"/>
        <family val="0"/>
        <color rgb="FF006100"/>
      </font>
      <fill>
        <patternFill>
          <bgColor rgb="FFC6EFCE"/>
        </patternFill>
      </fill>
    </dxf>
    <dxf>
      <fill>
        <patternFill patternType="solid">
          <fgColor rgb="FF1B3A5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FF2CC"/>
          <bgColor rgb="FF000000"/>
        </patternFill>
      </fill>
    </dxf>
    <dxf>
      <font>
        <name val="Arial"/>
        <charset val="1"/>
        <family val="0"/>
        <b val="1"/>
        <color rgb="FF7F4F00"/>
      </font>
      <fill>
        <patternFill>
          <bgColor rgb="FFFFEB9C"/>
        </patternFill>
      </fill>
    </dxf>
    <dxf>
      <font>
        <name val="Arial"/>
        <charset val="1"/>
        <family val="0"/>
        <b val="1"/>
        <color rgb="FF595959"/>
      </font>
      <fill>
        <patternFill>
          <bgColor rgb="FFEDEDED"/>
        </patternFill>
      </fill>
    </dxf>
    <dxf>
      <font>
        <name val="Arial"/>
        <charset val="1"/>
        <family val="0"/>
        <b val="1"/>
        <color rgb="FF006100"/>
      </font>
      <fill>
        <patternFill>
          <bgColor rgb="FFC6EFCE"/>
        </patternFill>
      </fill>
    </dxf>
    <dxf>
      <font>
        <name val="Arial"/>
        <charset val="1"/>
        <family val="0"/>
        <b val="1"/>
        <color rgb="FF0D366B"/>
      </font>
      <fill>
        <patternFill>
          <bgColor rgb="FFCDE2FB"/>
        </patternFill>
      </fill>
    </dxf>
  </dxfs>
  <colors>
    <indexedColors>
      <rgbColor rgb="FF000000"/>
      <rgbColor rgb="FFFFFFFF"/>
      <rgbColor rgb="FFFF0000"/>
      <rgbColor rgb="FF00FF00"/>
      <rgbColor rgb="FF0000FF"/>
      <rgbColor rgb="FFF3F4F6"/>
      <rgbColor rgb="FFFF00FF"/>
      <rgbColor rgb="FF00FFFF"/>
      <rgbColor rgb="FF9C0006"/>
      <rgbColor rgb="FF008000"/>
      <rgbColor rgb="FF000080"/>
      <rgbColor rgb="FF808000"/>
      <rgbColor rgb="FF800080"/>
      <rgbColor rgb="FF008080"/>
      <rgbColor rgb="FFD9D9D9"/>
      <rgbColor rgb="FF808080"/>
      <rgbColor rgb="FFEDEDED"/>
      <rgbColor rgb="FFD03B3B"/>
      <rgbColor rgb="FFFFF2CC"/>
      <rgbColor rgb="FFE8EEF5"/>
      <rgbColor rgb="FF660066"/>
      <rgbColor rgb="FFFF8080"/>
      <rgbColor rgb="FF0B5CAD"/>
      <rgbColor rgb="FFC9D3E0"/>
      <rgbColor rgb="FF000080"/>
      <rgbColor rgb="FFFF00FF"/>
      <rgbColor rgb="FFFFFF00"/>
      <rgbColor rgb="FF00FFFF"/>
      <rgbColor rgb="FF800080"/>
      <rgbColor rgb="FF800000"/>
      <rgbColor rgb="FF008080"/>
      <rgbColor rgb="FF0000FF"/>
      <rgbColor rgb="FF00CCFF"/>
      <rgbColor rgb="FFF2F6FB"/>
      <rgbColor rgb="FFC6EFCE"/>
      <rgbColor rgb="FFFFEB9C"/>
      <rgbColor rgb="FF86B6EF"/>
      <rgbColor rgb="FFE3E6EA"/>
      <rgbColor rgb="FFCDE2FB"/>
      <rgbColor rgb="FFFFC7CE"/>
      <rgbColor rgb="FF2A78D6"/>
      <rgbColor rgb="FF33CCCC"/>
      <rgbColor rgb="FF99CC00"/>
      <rgbColor rgb="FFF5B942"/>
      <rgbColor rgb="FFFF9900"/>
      <rgbColor rgb="FFEB6834"/>
      <rgbColor rgb="FF595959"/>
      <rgbColor rgb="FF9AA3AF"/>
      <rgbColor rgb="FF0D366B"/>
      <rgbColor rgb="FF1BAF7A"/>
      <rgbColor rgb="FF006100"/>
      <rgbColor rgb="FF404040"/>
      <rgbColor rgb="FF7F4F00"/>
      <rgbColor rgb="FF993366"/>
      <rgbColor rgb="FF1B3A5C"/>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Monthly revenue by product family (₹ lakh)</a:t>
            </a:r>
          </a:p>
        </c:rich>
      </c:tx>
      <c:overlay val="0"/>
      <c:spPr>
        <a:noFill/>
        <a:ln w="0">
          <a:noFill/>
        </a:ln>
      </c:spPr>
    </c:title>
    <c:autoTitleDeleted val="0"/>
    <c:plotArea>
      <c:barChart>
        <c:barDir val="col"/>
        <c:grouping val="stacked"/>
        <c:varyColors val="0"/>
        <c:ser>
          <c:idx val="0"/>
          <c:order val="0"/>
          <c:tx>
            <c:strRef>
              <c:f>"Fans &amp; Cooling"</c:f>
              <c:strCache>
                <c:ptCount val="1"/>
                <c:pt idx="0">
                  <c:v>Fans &amp; Cooling</c:v>
                </c:pt>
              </c:strCache>
            </c:strRef>
          </c:tx>
          <c:spPr>
            <a:solidFill>
              <a:srgbClr val="2a78d6"/>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Dashboard!$J$109:$U$109</c:f>
              <c:multiLvlStrCache>
                <c:ptCount val="1"/>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Dashboard!$J$110:$U$110</c:f>
              <c:numCache>
                <c:formatCode>#,##0</c:formatCode>
                <c:ptCount val="12"/>
                <c:pt idx="0">
                  <c:v>936.405</c:v>
                </c:pt>
                <c:pt idx="1">
                  <c:v>787.66</c:v>
                </c:pt>
                <c:pt idx="2">
                  <c:v>852.28</c:v>
                </c:pt>
                <c:pt idx="3">
                  <c:v>1418.31</c:v>
                </c:pt>
                <c:pt idx="4">
                  <c:v>2484.295</c:v>
                </c:pt>
                <c:pt idx="5">
                  <c:v>2979.5</c:v>
                </c:pt>
                <c:pt idx="6">
                  <c:v>2805.34</c:v>
                </c:pt>
                <c:pt idx="7">
                  <c:v>2161.185</c:v>
                </c:pt>
                <c:pt idx="8">
                  <c:v>1447.105</c:v>
                </c:pt>
                <c:pt idx="9">
                  <c:v>1233.815</c:v>
                </c:pt>
                <c:pt idx="10">
                  <c:v>1510.52</c:v>
                </c:pt>
                <c:pt idx="11">
                  <c:v>1478.63</c:v>
                </c:pt>
              </c:numCache>
            </c:numRef>
          </c:val>
        </c:ser>
        <c:ser>
          <c:idx val="1"/>
          <c:order val="1"/>
          <c:tx>
            <c:strRef>
              <c:f>"Kitchen Appliances"</c:f>
              <c:strCache>
                <c:ptCount val="1"/>
                <c:pt idx="0">
                  <c:v>Kitchen Appliances</c:v>
                </c:pt>
              </c:strCache>
            </c:strRef>
          </c:tx>
          <c:spPr>
            <a:solidFill>
              <a:srgbClr val="eb6834"/>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Dashboard!$J$109:$U$109</c:f>
              <c:multiLvlStrCache>
                <c:ptCount val="1"/>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Dashboard!$J$111:$U$111</c:f>
              <c:numCache>
                <c:formatCode>#,##0</c:formatCode>
                <c:ptCount val="12"/>
                <c:pt idx="0">
                  <c:v>1257.85</c:v>
                </c:pt>
                <c:pt idx="1">
                  <c:v>1089.9875</c:v>
                </c:pt>
                <c:pt idx="2">
                  <c:v>979.425</c:v>
                </c:pt>
                <c:pt idx="3">
                  <c:v>984.3125</c:v>
                </c:pt>
                <c:pt idx="4">
                  <c:v>890.825</c:v>
                </c:pt>
                <c:pt idx="5">
                  <c:v>793.975</c:v>
                </c:pt>
                <c:pt idx="6">
                  <c:v>788.375</c:v>
                </c:pt>
                <c:pt idx="7">
                  <c:v>806.5</c:v>
                </c:pt>
                <c:pt idx="8">
                  <c:v>824.05</c:v>
                </c:pt>
                <c:pt idx="9">
                  <c:v>872.7625</c:v>
                </c:pt>
                <c:pt idx="10">
                  <c:v>960.1125</c:v>
                </c:pt>
                <c:pt idx="11">
                  <c:v>1251.7375</c:v>
                </c:pt>
              </c:numCache>
            </c:numRef>
          </c:val>
        </c:ser>
        <c:ser>
          <c:idx val="2"/>
          <c:order val="2"/>
          <c:tx>
            <c:strRef>
              <c:f>"Heating &amp; Water"</c:f>
              <c:strCache>
                <c:ptCount val="1"/>
                <c:pt idx="0">
                  <c:v>Heating &amp; Water</c:v>
                </c:pt>
              </c:strCache>
            </c:strRef>
          </c:tx>
          <c:spPr>
            <a:solidFill>
              <a:srgbClr val="1baf7a"/>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Dashboard!$J$109:$U$109</c:f>
              <c:multiLvlStrCache>
                <c:ptCount val="1"/>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Dashboard!$J$112:$U$112</c:f>
              <c:numCache>
                <c:formatCode>#,##0</c:formatCode>
                <c:ptCount val="12"/>
                <c:pt idx="0">
                  <c:v>523.185</c:v>
                </c:pt>
                <c:pt idx="1">
                  <c:v>584.94</c:v>
                </c:pt>
                <c:pt idx="2">
                  <c:v>602.885</c:v>
                </c:pt>
                <c:pt idx="3">
                  <c:v>472.695</c:v>
                </c:pt>
                <c:pt idx="4">
                  <c:v>371.06</c:v>
                </c:pt>
                <c:pt idx="5">
                  <c:v>341.365</c:v>
                </c:pt>
                <c:pt idx="6">
                  <c:v>328.315</c:v>
                </c:pt>
                <c:pt idx="7">
                  <c:v>319.705</c:v>
                </c:pt>
                <c:pt idx="8">
                  <c:v>285.675</c:v>
                </c:pt>
                <c:pt idx="9">
                  <c:v>274.235</c:v>
                </c:pt>
                <c:pt idx="10">
                  <c:v>290.61</c:v>
                </c:pt>
                <c:pt idx="11">
                  <c:v>397.99</c:v>
                </c:pt>
              </c:numCache>
            </c:numRef>
          </c:val>
        </c:ser>
        <c:gapWidth val="40"/>
        <c:overlap val="100"/>
        <c:axId val="12963552"/>
        <c:axId val="63171346"/>
      </c:barChart>
      <c:catAx>
        <c:axId val="12963552"/>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63171346"/>
        <c:crosses val="autoZero"/>
        <c:auto val="1"/>
        <c:lblAlgn val="ctr"/>
        <c:lblOffset val="100"/>
        <c:noMultiLvlLbl val="0"/>
      </c:catAx>
      <c:valAx>
        <c:axId val="63171346"/>
        <c:scaling>
          <c:orientation val="minMax"/>
        </c:scaling>
        <c:delete val="0"/>
        <c:axPos val="l"/>
        <c:majorGridlines>
          <c:spPr>
            <a:ln w="6480">
              <a:solidFill>
                <a:srgbClr val="e3e6ea"/>
              </a:solidFill>
              <a:round/>
            </a:ln>
          </c:spPr>
        </c:majorGridlines>
        <c:title>
          <c:tx>
            <c:rich>
              <a:bodyPr rot="-5400000"/>
              <a:lstStyle/>
              <a:p>
                <a:pPr>
                  <a:defRPr b="0" sz="800" spc="-1" strike="noStrike">
                    <a:solidFill>
                      <a:srgbClr val="595959"/>
                    </a:solidFill>
                    <a:latin typeface="Arial"/>
                  </a:defRPr>
                </a:pPr>
                <a:r>
                  <a:rPr b="0" sz="800" spc="-1" strike="noStrike">
                    <a:solidFill>
                      <a:srgbClr val="595959"/>
                    </a:solidFill>
                    <a:latin typeface="Arial"/>
                  </a:rPr>
                  <a:t>₹ lakh per month</a:t>
                </a:r>
              </a:p>
            </c:rich>
          </c:tx>
          <c:overlay val="0"/>
          <c:spPr>
            <a:noFill/>
            <a:ln w="0">
              <a:noFill/>
            </a:ln>
          </c:spPr>
        </c:title>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12963552"/>
        <c:crosses val="autoZero"/>
        <c:crossBetween val="between"/>
      </c:valAx>
      <c:spPr>
        <a:noFill/>
        <a:ln w="0">
          <a:noFill/>
        </a:ln>
      </c:spPr>
    </c:plotArea>
    <c:legend>
      <c:legendPos val="b"/>
      <c:overlay val="0"/>
      <c:spPr>
        <a:noFill/>
        <a:ln w="0">
          <a:noFill/>
        </a:ln>
      </c:spPr>
      <c:txPr>
        <a:bodyPr/>
        <a:lstStyle/>
        <a:p>
          <a:pPr>
            <a:defRPr b="0" sz="800" spc="-1" strike="noStrike">
              <a:solidFill>
                <a:srgbClr val="404040"/>
              </a:solidFill>
              <a:latin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Work-centre utilization: average vs peak month</a:t>
            </a:r>
          </a:p>
        </c:rich>
      </c:tx>
      <c:overlay val="0"/>
      <c:spPr>
        <a:noFill/>
        <a:ln w="0">
          <a:noFill/>
        </a:ln>
      </c:spPr>
    </c:title>
    <c:autoTitleDeleted val="0"/>
    <c:plotArea>
      <c:barChart>
        <c:barDir val="col"/>
        <c:grouping val="clustered"/>
        <c:varyColors val="0"/>
        <c:ser>
          <c:idx val="0"/>
          <c:order val="0"/>
          <c:tx>
            <c:strRef>
              <c:f>"Average over the year"</c:f>
              <c:strCache>
                <c:ptCount val="1"/>
                <c:pt idx="0">
                  <c:v>Average over the year</c:v>
                </c:pt>
              </c:strCache>
            </c:strRef>
          </c:tx>
          <c:spPr>
            <a:solidFill>
              <a:srgbClr val="86b6ef"/>
            </a:solidFill>
            <a:ln w="9360">
              <a:solidFill>
                <a:srgbClr val="86b6e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Dashboard!$B$110:$B$118</c:f>
              <c:strCache>
                <c:ptCount val="9"/>
                <c:pt idx="0">
                  <c:v>Press shop</c:v>
                </c:pt>
                <c:pt idx="1">
                  <c:v>Al die-casting</c:v>
                </c:pt>
                <c:pt idx="2">
                  <c:v>Injection moulding</c:v>
                </c:pt>
                <c:pt idx="3">
                  <c:v>Winding &amp; motor</c:v>
                </c:pt>
                <c:pt idx="4">
                  <c:v>Powder coating</c:v>
                </c:pt>
                <c:pt idx="5">
                  <c:v>FA-1 Fans &amp; coolers</c:v>
                </c:pt>
                <c:pt idx="6">
                  <c:v>FA-2 Kitchen</c:v>
                </c:pt>
                <c:pt idx="7">
                  <c:v>FA-3 Heating &amp; pumps</c:v>
                </c:pt>
                <c:pt idx="8">
                  <c:v>Packing &amp; dispatch</c:v>
                </c:pt>
              </c:strCache>
            </c:strRef>
          </c:cat>
          <c:val>
            <c:numRef>
              <c:f>Dashboard!$D$110:$D$118</c:f>
              <c:numCache>
                <c:formatCode>0%</c:formatCode>
                <c:ptCount val="9"/>
                <c:pt idx="0">
                  <c:v>0.710502279838217</c:v>
                </c:pt>
                <c:pt idx="1">
                  <c:v>0.759108753900421</c:v>
                </c:pt>
                <c:pt idx="2">
                  <c:v>0.743838057558761</c:v>
                </c:pt>
                <c:pt idx="3">
                  <c:v>0.708187053461444</c:v>
                </c:pt>
                <c:pt idx="4">
                  <c:v>0.651090177332165</c:v>
                </c:pt>
                <c:pt idx="5">
                  <c:v>0.618561891539833</c:v>
                </c:pt>
                <c:pt idx="6">
                  <c:v>0.685037236048265</c:v>
                </c:pt>
                <c:pt idx="7">
                  <c:v>0.640717023989083</c:v>
                </c:pt>
                <c:pt idx="8">
                  <c:v>0.706670445439977</c:v>
                </c:pt>
              </c:numCache>
            </c:numRef>
          </c:val>
        </c:ser>
        <c:ser>
          <c:idx val="1"/>
          <c:order val="1"/>
          <c:tx>
            <c:strRef>
              <c:f>"Peak month"</c:f>
              <c:strCache>
                <c:ptCount val="1"/>
                <c:pt idx="0">
                  <c:v>Peak month</c:v>
                </c:pt>
              </c:strCache>
            </c:strRef>
          </c:tx>
          <c:spPr>
            <a:solidFill>
              <a:srgbClr val="2a78d6"/>
            </a:solidFill>
            <a:ln w="9360">
              <a:solidFill>
                <a:srgbClr val="2a78d6"/>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Dashboard!$B$110:$B$118</c:f>
              <c:strCache>
                <c:ptCount val="9"/>
                <c:pt idx="0">
                  <c:v>Press shop</c:v>
                </c:pt>
                <c:pt idx="1">
                  <c:v>Al die-casting</c:v>
                </c:pt>
                <c:pt idx="2">
                  <c:v>Injection moulding</c:v>
                </c:pt>
                <c:pt idx="3">
                  <c:v>Winding &amp; motor</c:v>
                </c:pt>
                <c:pt idx="4">
                  <c:v>Powder coating</c:v>
                </c:pt>
                <c:pt idx="5">
                  <c:v>FA-1 Fans &amp; coolers</c:v>
                </c:pt>
                <c:pt idx="6">
                  <c:v>FA-2 Kitchen</c:v>
                </c:pt>
                <c:pt idx="7">
                  <c:v>FA-3 Heating &amp; pumps</c:v>
                </c:pt>
                <c:pt idx="8">
                  <c:v>Packing &amp; dispatch</c:v>
                </c:pt>
              </c:strCache>
            </c:strRef>
          </c:cat>
          <c:val>
            <c:numRef>
              <c:f>Dashboard!$E$110:$E$118</c:f>
              <c:numCache>
                <c:formatCode>0%</c:formatCode>
                <c:ptCount val="9"/>
                <c:pt idx="0">
                  <c:v>0.967387105082418</c:v>
                </c:pt>
                <c:pt idx="1">
                  <c:v>0.988532763532764</c:v>
                </c:pt>
                <c:pt idx="2">
                  <c:v>1.01587122729701</c:v>
                </c:pt>
                <c:pt idx="3">
                  <c:v>0.906454021926583</c:v>
                </c:pt>
                <c:pt idx="4">
                  <c:v>0.989891518737673</c:v>
                </c:pt>
                <c:pt idx="5">
                  <c:v>1.0877296722885</c:v>
                </c:pt>
                <c:pt idx="6">
                  <c:v>0.895471970839618</c:v>
                </c:pt>
                <c:pt idx="7">
                  <c:v>1.05530192846369</c:v>
                </c:pt>
                <c:pt idx="8">
                  <c:v>0.913264253108003</c:v>
                </c:pt>
              </c:numCache>
            </c:numRef>
          </c:val>
        </c:ser>
        <c:gapWidth val="60"/>
        <c:overlap val="-5"/>
        <c:axId val="95260447"/>
        <c:axId val="62365537"/>
      </c:barChart>
      <c:lineChart>
        <c:grouping val="standard"/>
        <c:varyColors val="0"/>
        <c:ser>
          <c:idx val="2"/>
          <c:order val="2"/>
          <c:tx>
            <c:strRef>
              <c:f>"100% of capacity"</c:f>
              <c:strCache>
                <c:ptCount val="1"/>
                <c:pt idx="0">
                  <c:v>100% of capacity</c:v>
                </c:pt>
              </c:strCache>
            </c:strRef>
          </c:tx>
          <c:spPr>
            <a:solidFill>
              <a:srgbClr val="d03b3b"/>
            </a:solidFill>
            <a:ln w="19080">
              <a:solidFill>
                <a:srgbClr val="d03b3b"/>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Dashboard!$B$110:$B$118</c:f>
              <c:strCache>
                <c:ptCount val="9"/>
                <c:pt idx="0">
                  <c:v>Press shop</c:v>
                </c:pt>
                <c:pt idx="1">
                  <c:v>Al die-casting</c:v>
                </c:pt>
                <c:pt idx="2">
                  <c:v>Injection moulding</c:v>
                </c:pt>
                <c:pt idx="3">
                  <c:v>Winding &amp; motor</c:v>
                </c:pt>
                <c:pt idx="4">
                  <c:v>Powder coating</c:v>
                </c:pt>
                <c:pt idx="5">
                  <c:v>FA-1 Fans &amp; coolers</c:v>
                </c:pt>
                <c:pt idx="6">
                  <c:v>FA-2 Kitchen</c:v>
                </c:pt>
                <c:pt idx="7">
                  <c:v>FA-3 Heating &amp; pumps</c:v>
                </c:pt>
                <c:pt idx="8">
                  <c:v>Packing &amp; dispatch</c:v>
                </c:pt>
              </c:strCache>
            </c:strRef>
          </c:cat>
          <c:val>
            <c:numRef>
              <c:f>Dashboard!$F$110:$F$118</c:f>
              <c:numCache>
                <c:formatCode>0%</c:formatCode>
                <c:ptCount val="9"/>
                <c:pt idx="0">
                  <c:v>1</c:v>
                </c:pt>
                <c:pt idx="1">
                  <c:v>1</c:v>
                </c:pt>
                <c:pt idx="2">
                  <c:v>1</c:v>
                </c:pt>
                <c:pt idx="3">
                  <c:v>1</c:v>
                </c:pt>
                <c:pt idx="4">
                  <c:v>1</c:v>
                </c:pt>
                <c:pt idx="5">
                  <c:v>1</c:v>
                </c:pt>
                <c:pt idx="6">
                  <c:v>1</c:v>
                </c:pt>
                <c:pt idx="7">
                  <c:v>1</c:v>
                </c:pt>
                <c:pt idx="8">
                  <c:v>1</c:v>
                </c:pt>
              </c:numCache>
            </c:numRef>
          </c:val>
          <c:smooth val="0"/>
        </c:ser>
        <c:hiLowLines>
          <c:spPr>
            <a:ln w="0">
              <a:noFill/>
            </a:ln>
          </c:spPr>
        </c:hiLowLines>
        <c:marker val="0"/>
        <c:axId val="95260447"/>
        <c:axId val="62365537"/>
      </c:lineChart>
      <c:catAx>
        <c:axId val="95260447"/>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62365537"/>
        <c:crosses val="autoZero"/>
        <c:auto val="1"/>
        <c:lblAlgn val="ctr"/>
        <c:lblOffset val="100"/>
        <c:noMultiLvlLbl val="0"/>
      </c:catAx>
      <c:valAx>
        <c:axId val="62365537"/>
        <c:scaling>
          <c:orientation val="minMax"/>
          <c:min val="0"/>
        </c:scaling>
        <c:delete val="0"/>
        <c:axPos val="l"/>
        <c:majorGridlines>
          <c:spPr>
            <a:ln w="6480">
              <a:solidFill>
                <a:srgbClr val="e3e6ea"/>
              </a:solidFill>
              <a:round/>
            </a:ln>
          </c:spPr>
        </c:majorGridlines>
        <c:title>
          <c:tx>
            <c:rich>
              <a:bodyPr rot="-5400000"/>
              <a:lstStyle/>
              <a:p>
                <a:pPr>
                  <a:defRPr b="0" sz="800" spc="-1" strike="noStrike">
                    <a:solidFill>
                      <a:srgbClr val="595959"/>
                    </a:solidFill>
                    <a:latin typeface="Arial"/>
                  </a:defRPr>
                </a:pPr>
                <a:r>
                  <a:rPr b="0" sz="800" spc="-1" strike="noStrike">
                    <a:solidFill>
                      <a:srgbClr val="595959"/>
                    </a:solidFill>
                    <a:latin typeface="Arial"/>
                  </a:rPr>
                  <a:t>% of effective capacity</a:t>
                </a:r>
              </a:p>
            </c:rich>
          </c:tx>
          <c:overlay val="0"/>
          <c:spPr>
            <a:noFill/>
            <a:ln w="0">
              <a:noFill/>
            </a:ln>
          </c:spPr>
        </c:title>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95260447"/>
        <c:crosses val="autoZero"/>
        <c:crossBetween val="between"/>
      </c:valAx>
      <c:spPr>
        <a:noFill/>
        <a:ln w="0">
          <a:noFill/>
        </a:ln>
      </c:spPr>
    </c:plotArea>
    <c:legend>
      <c:legendPos val="b"/>
      <c:overlay val="0"/>
      <c:spPr>
        <a:noFill/>
        <a:ln w="0">
          <a:noFill/>
        </a:ln>
      </c:spPr>
      <c:txPr>
        <a:bodyPr/>
        <a:lstStyle/>
        <a:p>
          <a:pPr>
            <a:defRPr b="0" sz="800" spc="-1" strike="noStrike">
              <a:solidFill>
                <a:srgbClr val="404040"/>
              </a:solidFill>
              <a:latin typeface="Arial"/>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Annual raw-material spend by material (₹ lakh)</a:t>
            </a:r>
          </a:p>
        </c:rich>
      </c:tx>
      <c:overlay val="0"/>
      <c:spPr>
        <a:noFill/>
        <a:ln w="0">
          <a:noFill/>
        </a:ln>
      </c:spPr>
    </c:title>
    <c:autoTitleDeleted val="0"/>
    <c:plotArea>
      <c:barChart>
        <c:barDir val="bar"/>
        <c:grouping val="clustered"/>
        <c:varyColors val="0"/>
        <c:ser>
          <c:idx val="0"/>
          <c:order val="0"/>
          <c:tx>
            <c:strRef>
              <c:f>"Annual spend (₹ lakh)"</c:f>
              <c:strCache>
                <c:ptCount val="1"/>
                <c:pt idx="0">
                  <c:v>Annual spend (₹ lakh)</c:v>
                </c:pt>
              </c:strCache>
            </c:strRef>
          </c:tx>
          <c:spPr>
            <a:solidFill>
              <a:srgbClr val="2a78d6"/>
            </a:solidFill>
            <a:ln w="9360">
              <a:solidFill>
                <a:srgbClr val="2a78d6"/>
              </a:solidFill>
              <a:round/>
            </a:ln>
          </c:spPr>
          <c:invertIfNegative val="0"/>
          <c:dLbls>
            <c:numFmt formatCode="#,##0" sourceLinked="1"/>
            <c:txPr>
              <a:bodyPr wrap="square"/>
              <a:lstStyle/>
              <a:p>
                <a:pPr>
                  <a:defRPr b="0"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Dashboard!$B$96:$B$105</c:f>
              <c:strCache>
                <c:ptCount val="10"/>
                <c:pt idx="0">
                  <c:v>Powder coating</c:v>
                </c:pt>
                <c:pt idx="1">
                  <c:v>Nichrome wire</c:v>
                </c:pt>
                <c:pt idx="2">
                  <c:v>PP granules</c:v>
                </c:pt>
                <c:pt idx="3">
                  <c:v>Corrugated cartons</c:v>
                </c:pt>
                <c:pt idx="4">
                  <c:v>SS304 sheet</c:v>
                </c:pt>
                <c:pt idx="5">
                  <c:v>ABS granules</c:v>
                </c:pt>
                <c:pt idx="6">
                  <c:v>CRNGO steel coil</c:v>
                </c:pt>
                <c:pt idx="7">
                  <c:v>CRCA steel sheet</c:v>
                </c:pt>
                <c:pt idx="8">
                  <c:v>Aluminium ADC12</c:v>
                </c:pt>
                <c:pt idx="9">
                  <c:v>Copper winding wire</c:v>
                </c:pt>
              </c:strCache>
            </c:strRef>
          </c:cat>
          <c:val>
            <c:numRef>
              <c:f>Dashboard!$D$96:$D$105</c:f>
              <c:numCache>
                <c:formatCode>#,##0</c:formatCode>
                <c:ptCount val="10"/>
                <c:pt idx="0">
                  <c:v>314.2475625</c:v>
                </c:pt>
                <c:pt idx="1">
                  <c:v>458.434166666667</c:v>
                </c:pt>
                <c:pt idx="2">
                  <c:v>769.403907216495</c:v>
                </c:pt>
                <c:pt idx="3">
                  <c:v>795.325257731959</c:v>
                </c:pt>
                <c:pt idx="4">
                  <c:v>1000.95082926829</c:v>
                </c:pt>
                <c:pt idx="5">
                  <c:v>1073.0387628866</c:v>
                </c:pt>
                <c:pt idx="6">
                  <c:v>1255.15389857143</c:v>
                </c:pt>
                <c:pt idx="7">
                  <c:v>1560.28042058824</c:v>
                </c:pt>
                <c:pt idx="8">
                  <c:v>2266.49440217391</c:v>
                </c:pt>
                <c:pt idx="9">
                  <c:v>6664.66277423469</c:v>
                </c:pt>
              </c:numCache>
            </c:numRef>
          </c:val>
        </c:ser>
        <c:gapWidth val="40"/>
        <c:overlap val="0"/>
        <c:axId val="98944577"/>
        <c:axId val="66366514"/>
      </c:barChart>
      <c:catAx>
        <c:axId val="98944577"/>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66366514"/>
        <c:crosses val="autoZero"/>
        <c:auto val="1"/>
        <c:lblAlgn val="ctr"/>
        <c:lblOffset val="100"/>
        <c:noMultiLvlLbl val="0"/>
      </c:catAx>
      <c:valAx>
        <c:axId val="66366514"/>
        <c:scaling>
          <c:orientation val="minMax"/>
        </c:scaling>
        <c:delete val="0"/>
        <c:axPos val="l"/>
        <c:majorGridlines>
          <c:spPr>
            <a:ln w="6480">
              <a:solidFill>
                <a:srgbClr val="e3e6ea"/>
              </a:solidFill>
              <a:round/>
            </a:ln>
          </c:spPr>
        </c:majorGridlines>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989445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Annual spend by supplier (₹ lakh)</a:t>
            </a:r>
          </a:p>
        </c:rich>
      </c:tx>
      <c:overlay val="0"/>
      <c:spPr>
        <a:noFill/>
        <a:ln w="0">
          <a:noFill/>
        </a:ln>
      </c:spPr>
    </c:title>
    <c:autoTitleDeleted val="0"/>
    <c:plotArea>
      <c:barChart>
        <c:barDir val="bar"/>
        <c:grouping val="clustered"/>
        <c:varyColors val="0"/>
        <c:ser>
          <c:idx val="0"/>
          <c:order val="0"/>
          <c:tx>
            <c:strRef>
              <c:f>"Annual spend (₹ lakh)"</c:f>
              <c:strCache>
                <c:ptCount val="1"/>
                <c:pt idx="0">
                  <c:v>Annual spend (₹ lakh)</c:v>
                </c:pt>
              </c:strCache>
            </c:strRef>
          </c:tx>
          <c:spPr>
            <a:solidFill>
              <a:srgbClr val="2a78d6"/>
            </a:solidFill>
            <a:ln w="9360">
              <a:solidFill>
                <a:srgbClr val="2a78d6"/>
              </a:solidFill>
              <a:round/>
            </a:ln>
          </c:spPr>
          <c:invertIfNegative val="0"/>
          <c:dLbls>
            <c:numFmt formatCode="#,##0" sourceLinked="1"/>
            <c:txPr>
              <a:bodyPr wrap="square"/>
              <a:lstStyle/>
              <a:p>
                <a:pPr>
                  <a:defRPr b="0"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Dashboard!$G$96:$G$105</c:f>
              <c:strCache>
                <c:ptCount val="10"/>
                <c:pt idx="0">
                  <c:v>Ahmedabad Coatings</c:v>
                </c:pt>
                <c:pt idx="1">
                  <c:v>Pacific Plastics (TW)</c:v>
                </c:pt>
                <c:pt idx="2">
                  <c:v>Bhiwandi Packaging</c:v>
                </c:pt>
                <c:pt idx="3">
                  <c:v>Mumbai Polymer</c:v>
                </c:pt>
                <c:pt idx="4">
                  <c:v>Bharat Metal Traders</c:v>
                </c:pt>
                <c:pt idx="5">
                  <c:v>Deccan Aluminium</c:v>
                </c:pt>
                <c:pt idx="6">
                  <c:v>Kalinga Steels</c:v>
                </c:pt>
                <c:pt idx="7">
                  <c:v>Coimbatore Magnet</c:v>
                </c:pt>
                <c:pt idx="8">
                  <c:v>Pune Coil Proc.</c:v>
                </c:pt>
                <c:pt idx="9">
                  <c:v>Vadodara Wires</c:v>
                </c:pt>
              </c:strCache>
            </c:strRef>
          </c:cat>
          <c:val>
            <c:numRef>
              <c:f>Dashboard!$I$96:$I$105</c:f>
              <c:numCache>
                <c:formatCode>#,##0</c:formatCode>
                <c:ptCount val="10"/>
                <c:pt idx="0">
                  <c:v>314.2475625</c:v>
                </c:pt>
                <c:pt idx="1">
                  <c:v>775.443197938144</c:v>
                </c:pt>
                <c:pt idx="2">
                  <c:v>795.325257731959</c:v>
                </c:pt>
                <c:pt idx="3">
                  <c:v>1066.99947216495</c:v>
                </c:pt>
                <c:pt idx="4">
                  <c:v>1417.57452203407</c:v>
                </c:pt>
                <c:pt idx="5">
                  <c:v>1453.50329347826</c:v>
                </c:pt>
                <c:pt idx="6">
                  <c:v>1540.77530558824</c:v>
                </c:pt>
                <c:pt idx="7">
                  <c:v>1689.54500637755</c:v>
                </c:pt>
                <c:pt idx="8">
                  <c:v>1813.18510137631</c:v>
                </c:pt>
                <c:pt idx="9">
                  <c:v>5291.39326264881</c:v>
                </c:pt>
              </c:numCache>
            </c:numRef>
          </c:val>
        </c:ser>
        <c:gapWidth val="40"/>
        <c:overlap val="0"/>
        <c:axId val="62911602"/>
        <c:axId val="2232158"/>
      </c:barChart>
      <c:catAx>
        <c:axId val="62911602"/>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2232158"/>
        <c:crosses val="autoZero"/>
        <c:auto val="1"/>
        <c:lblAlgn val="ctr"/>
        <c:lblOffset val="100"/>
        <c:noMultiLvlLbl val="0"/>
      </c:catAx>
      <c:valAx>
        <c:axId val="2232158"/>
        <c:scaling>
          <c:orientation val="minMax"/>
        </c:scaling>
        <c:delete val="0"/>
        <c:axPos val="l"/>
        <c:majorGridlines>
          <c:spPr>
            <a:ln w="6480">
              <a:solidFill>
                <a:srgbClr val="e3e6ea"/>
              </a:solidFill>
              <a:round/>
            </a:ln>
          </c:spPr>
        </c:majorGridlines>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629116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Gross margin by product (% of selling price)</a:t>
            </a:r>
          </a:p>
        </c:rich>
      </c:tx>
      <c:overlay val="0"/>
      <c:spPr>
        <a:noFill/>
        <a:ln w="0">
          <a:noFill/>
        </a:ln>
      </c:spPr>
    </c:title>
    <c:autoTitleDeleted val="0"/>
    <c:plotArea>
      <c:barChart>
        <c:barDir val="col"/>
        <c:grouping val="clustered"/>
        <c:varyColors val="0"/>
        <c:ser>
          <c:idx val="0"/>
          <c:order val="0"/>
          <c:tx>
            <c:strRef>
              <c:f>"Gross margin"</c:f>
              <c:strCache>
                <c:ptCount val="1"/>
                <c:pt idx="0">
                  <c:v>Gross margin</c:v>
                </c:pt>
              </c:strCache>
            </c:strRef>
          </c:tx>
          <c:spPr>
            <a:solidFill>
              <a:srgbClr val="2a78d6"/>
            </a:solidFill>
            <a:ln w="9360">
              <a:solidFill>
                <a:srgbClr val="2a78d6"/>
              </a:solidFill>
              <a:round/>
            </a:ln>
          </c:spPr>
          <c:invertIfNegative val="0"/>
          <c:dLbls>
            <c:numFmt formatCode="0%" sourceLinked="1"/>
            <c:txPr>
              <a:bodyPr wrap="square"/>
              <a:lstStyle/>
              <a:p>
                <a:pPr>
                  <a:defRPr b="0" sz="7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Dashboard!$B$123:$B$137</c:f>
              <c:strCache>
                <c:ptCount val="15"/>
                <c:pt idx="0">
                  <c:v>P01</c:v>
                </c:pt>
                <c:pt idx="1">
                  <c:v>P02</c:v>
                </c:pt>
                <c:pt idx="2">
                  <c:v>P03</c:v>
                </c:pt>
                <c:pt idx="3">
                  <c:v>P04</c:v>
                </c:pt>
                <c:pt idx="4">
                  <c:v>P05</c:v>
                </c:pt>
                <c:pt idx="5">
                  <c:v>P06</c:v>
                </c:pt>
                <c:pt idx="6">
                  <c:v>P07</c:v>
                </c:pt>
                <c:pt idx="7">
                  <c:v>P08</c:v>
                </c:pt>
                <c:pt idx="8">
                  <c:v>P09</c:v>
                </c:pt>
                <c:pt idx="9">
                  <c:v>P10</c:v>
                </c:pt>
                <c:pt idx="10">
                  <c:v>P11</c:v>
                </c:pt>
                <c:pt idx="11">
                  <c:v>P12</c:v>
                </c:pt>
                <c:pt idx="12">
                  <c:v>P13</c:v>
                </c:pt>
                <c:pt idx="13">
                  <c:v>P14</c:v>
                </c:pt>
                <c:pt idx="14">
                  <c:v>P15</c:v>
                </c:pt>
              </c:strCache>
            </c:strRef>
          </c:cat>
          <c:val>
            <c:numRef>
              <c:f>Dashboard!$D$123:$D$137</c:f>
              <c:numCache>
                <c:formatCode>0.0%</c:formatCode>
                <c:ptCount val="15"/>
                <c:pt idx="0">
                  <c:v>0.269378948353427</c:v>
                </c:pt>
                <c:pt idx="1">
                  <c:v>0.350512640723762</c:v>
                </c:pt>
                <c:pt idx="2">
                  <c:v>0.290765574173366</c:v>
                </c:pt>
                <c:pt idx="3">
                  <c:v>0.289267277045453</c:v>
                </c:pt>
                <c:pt idx="4">
                  <c:v>0.301361423356724</c:v>
                </c:pt>
                <c:pt idx="5">
                  <c:v>0.279318599789215</c:v>
                </c:pt>
                <c:pt idx="6">
                  <c:v>0.30909928628104</c:v>
                </c:pt>
                <c:pt idx="7">
                  <c:v>0.320406240283464</c:v>
                </c:pt>
                <c:pt idx="8">
                  <c:v>0.297418580199241</c:v>
                </c:pt>
                <c:pt idx="9">
                  <c:v>0.300310853691019</c:v>
                </c:pt>
                <c:pt idx="10">
                  <c:v>0.310222128351091</c:v>
                </c:pt>
                <c:pt idx="11">
                  <c:v>0.299369614604328</c:v>
                </c:pt>
                <c:pt idx="12">
                  <c:v>0.276603456433633</c:v>
                </c:pt>
                <c:pt idx="13">
                  <c:v>0.302444902733111</c:v>
                </c:pt>
                <c:pt idx="14">
                  <c:v>0.259502912355158</c:v>
                </c:pt>
              </c:numCache>
            </c:numRef>
          </c:val>
        </c:ser>
        <c:gapWidth val="40"/>
        <c:overlap val="0"/>
        <c:axId val="94168684"/>
        <c:axId val="93488264"/>
      </c:barChart>
      <c:catAx>
        <c:axId val="94168684"/>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93488264"/>
        <c:crosses val="autoZero"/>
        <c:auto val="1"/>
        <c:lblAlgn val="ctr"/>
        <c:lblOffset val="100"/>
        <c:noMultiLvlLbl val="0"/>
      </c:catAx>
      <c:valAx>
        <c:axId val="93488264"/>
        <c:scaling>
          <c:orientation val="minMax"/>
          <c:min val="0"/>
        </c:scaling>
        <c:delete val="0"/>
        <c:axPos val="l"/>
        <c:majorGridlines>
          <c:spPr>
            <a:ln w="6480">
              <a:solidFill>
                <a:srgbClr val="e3e6ea"/>
              </a:solidFill>
              <a:round/>
            </a:ln>
          </c:spPr>
        </c:majorGridlines>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941686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b3a5c"/>
                </a:solidFill>
                <a:latin typeface="Arial"/>
              </a:defRPr>
            </a:pPr>
            <a:r>
              <a:rPr b="1" sz="1100" spc="-1" strike="noStrike">
                <a:solidFill>
                  <a:srgbClr val="1b3a5c"/>
                </a:solidFill>
                <a:latin typeface="Arial"/>
              </a:rPr>
              <a:t>Raw-material cover vs reorder point (days of usage)</a:t>
            </a:r>
          </a:p>
        </c:rich>
      </c:tx>
      <c:overlay val="0"/>
      <c:spPr>
        <a:noFill/>
        <a:ln w="0">
          <a:noFill/>
        </a:ln>
      </c:spPr>
    </c:title>
    <c:autoTitleDeleted val="0"/>
    <c:plotArea>
      <c:barChart>
        <c:barDir val="col"/>
        <c:grouping val="clustered"/>
        <c:varyColors val="0"/>
        <c:ser>
          <c:idx val="0"/>
          <c:order val="0"/>
          <c:tx>
            <c:strRef>
              <c:f>"Days of cover (on hand + on order)"</c:f>
              <c:strCache>
                <c:ptCount val="1"/>
                <c:pt idx="0">
                  <c:v>Days of cover (on hand + on order)</c:v>
                </c:pt>
              </c:strCache>
            </c:strRef>
          </c:tx>
          <c:spPr>
            <a:solidFill>
              <a:srgbClr val="2a78d6"/>
            </a:solidFill>
            <a:ln w="9360">
              <a:solidFill>
                <a:srgbClr val="2a78d6"/>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Dashboard!$H$123:$H$132</c:f>
              <c:strCache>
                <c:ptCount val="10"/>
                <c:pt idx="0">
                  <c:v>CRNGO steel coil</c:v>
                </c:pt>
                <c:pt idx="1">
                  <c:v>CRCA steel sheet</c:v>
                </c:pt>
                <c:pt idx="2">
                  <c:v>Aluminium ADC12</c:v>
                </c:pt>
                <c:pt idx="3">
                  <c:v>Copper winding wire</c:v>
                </c:pt>
                <c:pt idx="4">
                  <c:v>PP granules</c:v>
                </c:pt>
                <c:pt idx="5">
                  <c:v>ABS granules</c:v>
                </c:pt>
                <c:pt idx="6">
                  <c:v>SS304 sheet</c:v>
                </c:pt>
                <c:pt idx="7">
                  <c:v>Nichrome wire</c:v>
                </c:pt>
                <c:pt idx="8">
                  <c:v>Powder coating</c:v>
                </c:pt>
                <c:pt idx="9">
                  <c:v>Corrugated cartons</c:v>
                </c:pt>
              </c:strCache>
            </c:strRef>
          </c:cat>
          <c:val>
            <c:numRef>
              <c:f>Dashboard!$J$123:$J$132</c:f>
              <c:numCache>
                <c:formatCode>#,##0.0</c:formatCode>
                <c:ptCount val="10"/>
                <c:pt idx="0">
                  <c:v>38.7189404068594</c:v>
                </c:pt>
                <c:pt idx="1">
                  <c:v>15.9895760248572</c:v>
                </c:pt>
                <c:pt idx="2">
                  <c:v>15.0025828970332</c:v>
                </c:pt>
                <c:pt idx="3">
                  <c:v>23.2615187908124</c:v>
                </c:pt>
                <c:pt idx="4">
                  <c:v>41.0058642947103</c:v>
                </c:pt>
                <c:pt idx="5">
                  <c:v>32.9868659064098</c:v>
                </c:pt>
                <c:pt idx="6">
                  <c:v>18.9954824853736</c:v>
                </c:pt>
                <c:pt idx="7">
                  <c:v>36.0411339028239</c:v>
                </c:pt>
                <c:pt idx="8">
                  <c:v>24.016436369496</c:v>
                </c:pt>
                <c:pt idx="9">
                  <c:v>21.6870809792844</c:v>
                </c:pt>
              </c:numCache>
            </c:numRef>
          </c:val>
        </c:ser>
        <c:ser>
          <c:idx val="1"/>
          <c:order val="1"/>
          <c:tx>
            <c:strRef>
              <c:f>"Reorder point (days)"</c:f>
              <c:strCache>
                <c:ptCount val="1"/>
                <c:pt idx="0">
                  <c:v>Reorder point (days)</c:v>
                </c:pt>
              </c:strCache>
            </c:strRef>
          </c:tx>
          <c:spPr>
            <a:solidFill>
              <a:srgbClr val="eb6834"/>
            </a:solidFill>
            <a:ln w="9360">
              <a:solidFill>
                <a:srgbClr val="eb6834"/>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Dashboard!$H$123:$H$132</c:f>
              <c:strCache>
                <c:ptCount val="10"/>
                <c:pt idx="0">
                  <c:v>CRNGO steel coil</c:v>
                </c:pt>
                <c:pt idx="1">
                  <c:v>CRCA steel sheet</c:v>
                </c:pt>
                <c:pt idx="2">
                  <c:v>Aluminium ADC12</c:v>
                </c:pt>
                <c:pt idx="3">
                  <c:v>Copper winding wire</c:v>
                </c:pt>
                <c:pt idx="4">
                  <c:v>PP granules</c:v>
                </c:pt>
                <c:pt idx="5">
                  <c:v>ABS granules</c:v>
                </c:pt>
                <c:pt idx="6">
                  <c:v>SS304 sheet</c:v>
                </c:pt>
                <c:pt idx="7">
                  <c:v>Nichrome wire</c:v>
                </c:pt>
                <c:pt idx="8">
                  <c:v>Powder coating</c:v>
                </c:pt>
                <c:pt idx="9">
                  <c:v>Corrugated cartons</c:v>
                </c:pt>
              </c:strCache>
            </c:strRef>
          </c:cat>
          <c:val>
            <c:numRef>
              <c:f>Dashboard!$K$123:$K$132</c:f>
              <c:numCache>
                <c:formatCode>#,##0.0</c:formatCode>
                <c:ptCount val="10"/>
                <c:pt idx="0">
                  <c:v>23.8</c:v>
                </c:pt>
                <c:pt idx="1">
                  <c:v>17.85</c:v>
                </c:pt>
                <c:pt idx="2">
                  <c:v>13.9</c:v>
                </c:pt>
                <c:pt idx="3">
                  <c:v>19.5</c:v>
                </c:pt>
                <c:pt idx="4">
                  <c:v>24.4</c:v>
                </c:pt>
                <c:pt idx="5">
                  <c:v>39.2</c:v>
                </c:pt>
                <c:pt idx="6">
                  <c:v>12.2</c:v>
                </c:pt>
                <c:pt idx="7">
                  <c:v>27.3</c:v>
                </c:pt>
                <c:pt idx="8">
                  <c:v>19</c:v>
                </c:pt>
                <c:pt idx="9">
                  <c:v>13</c:v>
                </c:pt>
              </c:numCache>
            </c:numRef>
          </c:val>
        </c:ser>
        <c:gapWidth val="50"/>
        <c:overlap val="-5"/>
        <c:axId val="34293446"/>
        <c:axId val="20352820"/>
      </c:barChart>
      <c:catAx>
        <c:axId val="34293446"/>
        <c:scaling>
          <c:orientation val="minMax"/>
        </c:scaling>
        <c:delete val="0"/>
        <c:axPos val="b"/>
        <c:numFmt formatCode="General" sourceLinked="1"/>
        <c:majorTickMark val="none"/>
        <c:minorTickMark val="none"/>
        <c:tickLblPos val="nextTo"/>
        <c:spPr>
          <a:ln w="9360">
            <a:solidFill>
              <a:srgbClr val="9aa3af"/>
            </a:solidFill>
            <a:round/>
          </a:ln>
        </c:spPr>
        <c:txPr>
          <a:bodyPr/>
          <a:lstStyle/>
          <a:p>
            <a:pPr>
              <a:defRPr b="0" sz="800" spc="-1" strike="noStrike">
                <a:solidFill>
                  <a:srgbClr val="404040"/>
                </a:solidFill>
                <a:latin typeface="Arial"/>
              </a:defRPr>
            </a:pPr>
          </a:p>
        </c:txPr>
        <c:crossAx val="20352820"/>
        <c:crosses val="autoZero"/>
        <c:auto val="1"/>
        <c:lblAlgn val="ctr"/>
        <c:lblOffset val="100"/>
        <c:noMultiLvlLbl val="0"/>
      </c:catAx>
      <c:valAx>
        <c:axId val="20352820"/>
        <c:scaling>
          <c:orientation val="minMax"/>
        </c:scaling>
        <c:delete val="0"/>
        <c:axPos val="l"/>
        <c:majorGridlines>
          <c:spPr>
            <a:ln w="6480">
              <a:solidFill>
                <a:srgbClr val="e3e6ea"/>
              </a:solidFill>
              <a:round/>
            </a:ln>
          </c:spPr>
        </c:majorGridlines>
        <c:title>
          <c:tx>
            <c:rich>
              <a:bodyPr rot="-5400000"/>
              <a:lstStyle/>
              <a:p>
                <a:pPr>
                  <a:defRPr b="0" sz="800" spc="-1" strike="noStrike">
                    <a:solidFill>
                      <a:srgbClr val="595959"/>
                    </a:solidFill>
                    <a:latin typeface="Arial"/>
                  </a:defRPr>
                </a:pPr>
                <a:r>
                  <a:rPr b="0" sz="800" spc="-1" strike="noStrike">
                    <a:solidFill>
                      <a:srgbClr val="595959"/>
                    </a:solidFill>
                    <a:latin typeface="Arial"/>
                  </a:rPr>
                  <a:t>days</a:t>
                </a:r>
              </a:p>
            </c:rich>
          </c:tx>
          <c:overlay val="0"/>
          <c:spPr>
            <a:noFill/>
            <a:ln w="0">
              <a:noFill/>
            </a:ln>
          </c:spPr>
        </c:title>
        <c:numFmt formatCode="0" sourceLinked="0"/>
        <c:majorTickMark val="none"/>
        <c:minorTickMark val="none"/>
        <c:tickLblPos val="nextTo"/>
        <c:spPr>
          <a:ln w="9360">
            <a:noFill/>
          </a:ln>
        </c:spPr>
        <c:txPr>
          <a:bodyPr/>
          <a:lstStyle/>
          <a:p>
            <a:pPr>
              <a:defRPr b="0" sz="800" spc="-1" strike="noStrike">
                <a:solidFill>
                  <a:srgbClr val="404040"/>
                </a:solidFill>
                <a:latin typeface="Arial"/>
              </a:defRPr>
            </a:pPr>
          </a:p>
        </c:txPr>
        <c:crossAx val="34293446"/>
        <c:crosses val="autoZero"/>
        <c:crossBetween val="between"/>
      </c:valAx>
      <c:spPr>
        <a:noFill/>
        <a:ln w="0">
          <a:noFill/>
        </a:ln>
      </c:spPr>
    </c:plotArea>
    <c:legend>
      <c:legendPos val="b"/>
      <c:overlay val="0"/>
      <c:spPr>
        <a:noFill/>
        <a:ln w="0">
          <a:noFill/>
        </a:ln>
      </c:spPr>
      <c:txPr>
        <a:bodyPr/>
        <a:lstStyle/>
        <a:p>
          <a:pPr>
            <a:defRPr b="0" sz="800" spc="-1" strike="noStrike">
              <a:solidFill>
                <a:srgbClr val="404040"/>
              </a:solidFill>
              <a:latin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8</xdr:col>
      <xdr:colOff>24120</xdr:colOff>
      <xdr:row>45</xdr:row>
      <xdr:rowOff>94320</xdr:rowOff>
    </xdr:to>
    <xdr:graphicFrame>
      <xdr:nvGraphicFramePr>
        <xdr:cNvPr id="0" name="Chart 1"/>
        <xdr:cNvGraphicFramePr/>
      </xdr:nvGraphicFramePr>
      <xdr:xfrm>
        <a:off x="141120" y="7105680"/>
        <a:ext cx="5255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30</xdr:row>
      <xdr:rowOff>0</xdr:rowOff>
    </xdr:from>
    <xdr:to>
      <xdr:col>15</xdr:col>
      <xdr:colOff>23760</xdr:colOff>
      <xdr:row>45</xdr:row>
      <xdr:rowOff>94320</xdr:rowOff>
    </xdr:to>
    <xdr:graphicFrame>
      <xdr:nvGraphicFramePr>
        <xdr:cNvPr id="1" name="Chart 2"/>
        <xdr:cNvGraphicFramePr/>
      </xdr:nvGraphicFramePr>
      <xdr:xfrm>
        <a:off x="5372640" y="7105680"/>
        <a:ext cx="5255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48</xdr:row>
      <xdr:rowOff>0</xdr:rowOff>
    </xdr:from>
    <xdr:to>
      <xdr:col>8</xdr:col>
      <xdr:colOff>24120</xdr:colOff>
      <xdr:row>63</xdr:row>
      <xdr:rowOff>94320</xdr:rowOff>
    </xdr:to>
    <xdr:graphicFrame>
      <xdr:nvGraphicFramePr>
        <xdr:cNvPr id="2" name="Chart 3"/>
        <xdr:cNvGraphicFramePr/>
      </xdr:nvGraphicFramePr>
      <xdr:xfrm>
        <a:off x="141120" y="10534680"/>
        <a:ext cx="5255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48</xdr:row>
      <xdr:rowOff>0</xdr:rowOff>
    </xdr:from>
    <xdr:to>
      <xdr:col>15</xdr:col>
      <xdr:colOff>23760</xdr:colOff>
      <xdr:row>63</xdr:row>
      <xdr:rowOff>94320</xdr:rowOff>
    </xdr:to>
    <xdr:graphicFrame>
      <xdr:nvGraphicFramePr>
        <xdr:cNvPr id="3" name="Chart 4"/>
        <xdr:cNvGraphicFramePr/>
      </xdr:nvGraphicFramePr>
      <xdr:xfrm>
        <a:off x="5372640" y="10534680"/>
        <a:ext cx="5255640" cy="295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66</xdr:row>
      <xdr:rowOff>0</xdr:rowOff>
    </xdr:from>
    <xdr:to>
      <xdr:col>8</xdr:col>
      <xdr:colOff>24120</xdr:colOff>
      <xdr:row>81</xdr:row>
      <xdr:rowOff>94320</xdr:rowOff>
    </xdr:to>
    <xdr:graphicFrame>
      <xdr:nvGraphicFramePr>
        <xdr:cNvPr id="4" name="Chart 5"/>
        <xdr:cNvGraphicFramePr/>
      </xdr:nvGraphicFramePr>
      <xdr:xfrm>
        <a:off x="141120" y="13963680"/>
        <a:ext cx="5255640" cy="295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66</xdr:row>
      <xdr:rowOff>0</xdr:rowOff>
    </xdr:from>
    <xdr:to>
      <xdr:col>15</xdr:col>
      <xdr:colOff>23760</xdr:colOff>
      <xdr:row>81</xdr:row>
      <xdr:rowOff>94320</xdr:rowOff>
    </xdr:to>
    <xdr:graphicFrame>
      <xdr:nvGraphicFramePr>
        <xdr:cNvPr id="5" name="Chart 6"/>
        <xdr:cNvGraphicFramePr/>
      </xdr:nvGraphicFramePr>
      <xdr:xfrm>
        <a:off x="5372640" y="13963680"/>
        <a:ext cx="5255640" cy="295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7.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1:D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7"/>
    <col collapsed="false" customWidth="true" hidden="false" outlineLevel="0" max="4" min="4" style="0" width="112"/>
  </cols>
  <sheetData>
    <row r="1" customFormat="false" ht="30" hidden="false" customHeight="true" outlineLevel="0" collapsed="false">
      <c r="B1" s="1" t="s">
        <v>0</v>
      </c>
    </row>
    <row r="2" customFormat="false" ht="15" hidden="false" customHeight="false" outlineLevel="0" collapsed="false">
      <c r="B2" s="2" t="s">
        <v>1</v>
      </c>
    </row>
    <row r="4" customFormat="false" ht="19.5" hidden="false" customHeight="true" outlineLevel="0" collapsed="false">
      <c r="B4" s="3" t="s">
        <v>2</v>
      </c>
      <c r="C4" s="4"/>
      <c r="D4" s="4"/>
    </row>
    <row r="5" customFormat="false" ht="75" hidden="false" customHeight="true" outlineLevel="0" collapsed="false">
      <c r="B5" s="5" t="s">
        <v>3</v>
      </c>
      <c r="C5" s="5"/>
      <c r="D5" s="5"/>
    </row>
    <row r="7" customFormat="false" ht="19.5" hidden="false" customHeight="true" outlineLevel="0" collapsed="false">
      <c r="B7" s="3" t="s">
        <v>4</v>
      </c>
      <c r="C7" s="4"/>
      <c r="D7" s="4"/>
    </row>
    <row r="8" customFormat="false" ht="15" hidden="false" customHeight="false" outlineLevel="0" collapsed="false">
      <c r="B8" s="6" t="s">
        <v>5</v>
      </c>
      <c r="C8" s="7" t="str">
        <f aca="false">TEXT(Products!R18,"#,##0")&amp;" units"</f>
        <v>2,620,700 units</v>
      </c>
      <c r="D8" s="7"/>
    </row>
    <row r="9" customFormat="false" ht="15" hidden="false" customHeight="false" outlineLevel="0" collapsed="false">
      <c r="B9" s="6" t="s">
        <v>6</v>
      </c>
      <c r="C9" s="7" t="str">
        <f aca="false">"₹ "&amp;TEXT(Products!S18*Assumptions!$B$20/Assumptions!$B$21,"#,##0.0")&amp;" crore"</f>
        <v>₹ 363.9 crore</v>
      </c>
      <c r="D9" s="7"/>
    </row>
    <row r="10" customFormat="false" ht="15" hidden="false" customHeight="false" outlineLevel="0" collapsed="false">
      <c r="B10" s="6" t="s">
        <v>7</v>
      </c>
      <c r="C10" s="7" t="str">
        <f aca="false">"₹ "&amp;TEXT(Spend!M15*Assumptions!$B$20/Assumptions!$B$21,"#,##0.0")&amp;" crore ("&amp;TEXT(Spend!M15/Products!S18,"0.0%")&amp;" of revenue)"</f>
        <v>₹ 161.6 crore (44.4% of revenue)</v>
      </c>
      <c r="D10" s="7"/>
    </row>
    <row r="11" customFormat="false" ht="15" hidden="false" customHeight="false" outlineLevel="0" collapsed="false">
      <c r="B11" s="6" t="s">
        <v>8</v>
      </c>
      <c r="C11" s="7" t="str">
        <f aca="false">TEXT(Products!Q18,"0.0%")&amp;" (after raw material, bought-out parts and conversion cost)"</f>
        <v>29.6% (after raw material, bought-out parts and conversion cost)</v>
      </c>
      <c r="D11" s="7"/>
    </row>
    <row r="12" customFormat="false" ht="15" hidden="false" customHeight="false" outlineLevel="0" collapsed="false">
      <c r="B12" s="6" t="s">
        <v>9</v>
      </c>
      <c r="C12" s="7" t="str">
        <f aca="false">TEXT(MAX(Capacity!R18:R26),"0%")&amp;" peak utilization; "&amp;SUM(Capacity!T18:T26)&amp;" work-centre months above 100%"</f>
        <v>109% peak utilization; 5 work-centre months above 100%</v>
      </c>
      <c r="D12" s="7"/>
    </row>
    <row r="13" customFormat="false" ht="15" hidden="false" customHeight="false" outlineLevel="0" collapsed="false">
      <c r="B13" s="6" t="s">
        <v>10</v>
      </c>
      <c r="C13" s="7" t="str">
        <f aca="false">Checks!B3</f>
        <v>ALL 33 CHECKS PASS</v>
      </c>
      <c r="D13" s="7"/>
    </row>
    <row r="15" customFormat="false" ht="19.5" hidden="false" customHeight="true" outlineLevel="0" collapsed="false">
      <c r="B15" s="3" t="s">
        <v>11</v>
      </c>
      <c r="C15" s="4"/>
      <c r="D15" s="4"/>
    </row>
    <row r="16" customFormat="false" ht="31.5" hidden="false" customHeight="true" outlineLevel="0" collapsed="false">
      <c r="B16" s="5" t="s">
        <v>12</v>
      </c>
      <c r="C16" s="5"/>
      <c r="D16" s="5"/>
    </row>
    <row r="17" customFormat="false" ht="17.25" hidden="false" customHeight="true" outlineLevel="0" collapsed="false">
      <c r="B17" s="5" t="s">
        <v>13</v>
      </c>
      <c r="C17" s="5"/>
      <c r="D17" s="5"/>
    </row>
    <row r="18" customFormat="false" ht="31.5" hidden="false" customHeight="true" outlineLevel="0" collapsed="false">
      <c r="B18" s="5" t="s">
        <v>14</v>
      </c>
      <c r="C18" s="5"/>
      <c r="D18" s="5"/>
    </row>
    <row r="19" customFormat="false" ht="17.25" hidden="false" customHeight="true" outlineLevel="0" collapsed="false">
      <c r="B19" s="5" t="s">
        <v>15</v>
      </c>
      <c r="C19" s="5"/>
      <c r="D19" s="5"/>
    </row>
    <row r="20" customFormat="false" ht="17.25" hidden="false" customHeight="true" outlineLevel="0" collapsed="false">
      <c r="B20" s="5" t="s">
        <v>16</v>
      </c>
      <c r="C20" s="5"/>
      <c r="D20" s="5"/>
    </row>
    <row r="21" customFormat="false" ht="17.25" hidden="false" customHeight="true" outlineLevel="0" collapsed="false">
      <c r="B21" s="5" t="s">
        <v>17</v>
      </c>
      <c r="C21" s="5"/>
      <c r="D21" s="5"/>
    </row>
    <row r="23" customFormat="false" ht="19.5" hidden="false" customHeight="true" outlineLevel="0" collapsed="false">
      <c r="B23" s="3" t="s">
        <v>18</v>
      </c>
      <c r="C23" s="4"/>
      <c r="D23" s="4"/>
    </row>
    <row r="24" customFormat="false" ht="15" hidden="false" customHeight="false" outlineLevel="0" collapsed="false">
      <c r="B24" s="8" t="s">
        <v>19</v>
      </c>
      <c r="C24" s="8" t="s">
        <v>20</v>
      </c>
      <c r="D24" s="8" t="s">
        <v>21</v>
      </c>
    </row>
    <row r="25" customFormat="false" ht="30" hidden="false" customHeight="true" outlineLevel="0" collapsed="false">
      <c r="B25" s="9" t="s">
        <v>22</v>
      </c>
      <c r="C25" s="10" t="s">
        <v>23</v>
      </c>
      <c r="D25" s="11" t="s">
        <v>24</v>
      </c>
    </row>
    <row r="26" customFormat="false" ht="15.75" hidden="false" customHeight="true" outlineLevel="0" collapsed="false">
      <c r="B26" s="9" t="s">
        <v>25</v>
      </c>
      <c r="C26" s="10" t="s">
        <v>26</v>
      </c>
      <c r="D26" s="11" t="s">
        <v>27</v>
      </c>
    </row>
    <row r="27" customFormat="false" ht="30" hidden="false" customHeight="true" outlineLevel="0" collapsed="false">
      <c r="B27" s="9" t="s">
        <v>28</v>
      </c>
      <c r="C27" s="10" t="s">
        <v>29</v>
      </c>
      <c r="D27" s="11" t="s">
        <v>30</v>
      </c>
    </row>
    <row r="28" customFormat="false" ht="30" hidden="false" customHeight="true" outlineLevel="0" collapsed="false">
      <c r="B28" s="9" t="s">
        <v>31</v>
      </c>
      <c r="C28" s="10" t="s">
        <v>29</v>
      </c>
      <c r="D28" s="11" t="s">
        <v>32</v>
      </c>
    </row>
    <row r="29" customFormat="false" ht="30" hidden="false" customHeight="true" outlineLevel="0" collapsed="false">
      <c r="B29" s="9" t="s">
        <v>33</v>
      </c>
      <c r="C29" s="10" t="s">
        <v>29</v>
      </c>
      <c r="D29" s="11" t="s">
        <v>34</v>
      </c>
    </row>
    <row r="30" customFormat="false" ht="30" hidden="false" customHeight="true" outlineLevel="0" collapsed="false">
      <c r="B30" s="9" t="s">
        <v>35</v>
      </c>
      <c r="C30" s="10" t="s">
        <v>29</v>
      </c>
      <c r="D30" s="11" t="s">
        <v>36</v>
      </c>
    </row>
    <row r="31" customFormat="false" ht="15.75" hidden="false" customHeight="true" outlineLevel="0" collapsed="false">
      <c r="B31" s="9" t="s">
        <v>37</v>
      </c>
      <c r="C31" s="10" t="s">
        <v>29</v>
      </c>
      <c r="D31" s="11" t="s">
        <v>38</v>
      </c>
    </row>
    <row r="32" customFormat="false" ht="15.75" hidden="false" customHeight="true" outlineLevel="0" collapsed="false">
      <c r="B32" s="9" t="s">
        <v>39</v>
      </c>
      <c r="C32" s="10" t="s">
        <v>40</v>
      </c>
      <c r="D32" s="11" t="s">
        <v>41</v>
      </c>
    </row>
    <row r="33" customFormat="false" ht="15.75" hidden="false" customHeight="true" outlineLevel="0" collapsed="false">
      <c r="B33" s="9" t="s">
        <v>42</v>
      </c>
      <c r="C33" s="10" t="s">
        <v>29</v>
      </c>
      <c r="D33" s="11" t="s">
        <v>43</v>
      </c>
    </row>
    <row r="34" customFormat="false" ht="30" hidden="false" customHeight="true" outlineLevel="0" collapsed="false">
      <c r="B34" s="9" t="s">
        <v>44</v>
      </c>
      <c r="C34" s="10" t="s">
        <v>29</v>
      </c>
      <c r="D34" s="11" t="s">
        <v>45</v>
      </c>
    </row>
    <row r="35" customFormat="false" ht="15.75" hidden="false" customHeight="true" outlineLevel="0" collapsed="false">
      <c r="B35" s="9" t="s">
        <v>46</v>
      </c>
      <c r="C35" s="10" t="s">
        <v>29</v>
      </c>
      <c r="D35" s="11" t="s">
        <v>47</v>
      </c>
    </row>
    <row r="36" customFormat="false" ht="15.75" hidden="false" customHeight="true" outlineLevel="0" collapsed="false">
      <c r="B36" s="9" t="s">
        <v>48</v>
      </c>
      <c r="C36" s="10" t="s">
        <v>40</v>
      </c>
      <c r="D36" s="11" t="s">
        <v>49</v>
      </c>
    </row>
    <row r="37" customFormat="false" ht="15.75" hidden="false" customHeight="true" outlineLevel="0" collapsed="false">
      <c r="B37" s="9" t="s">
        <v>50</v>
      </c>
      <c r="C37" s="10" t="s">
        <v>40</v>
      </c>
      <c r="D37" s="11" t="s">
        <v>51</v>
      </c>
    </row>
    <row r="38" customFormat="false" ht="15.75" hidden="false" customHeight="true" outlineLevel="0" collapsed="false">
      <c r="B38" s="9" t="s">
        <v>52</v>
      </c>
      <c r="C38" s="10" t="s">
        <v>29</v>
      </c>
      <c r="D38" s="11" t="s">
        <v>53</v>
      </c>
    </row>
    <row r="39" customFormat="false" ht="15.75" hidden="false" customHeight="true" outlineLevel="0" collapsed="false">
      <c r="B39" s="9" t="s">
        <v>54</v>
      </c>
      <c r="C39" s="10" t="s">
        <v>40</v>
      </c>
      <c r="D39" s="11" t="s">
        <v>55</v>
      </c>
    </row>
    <row r="40" customFormat="false" ht="15.75" hidden="false" customHeight="true" outlineLevel="0" collapsed="false">
      <c r="B40" s="9" t="s">
        <v>56</v>
      </c>
      <c r="C40" s="10" t="s">
        <v>23</v>
      </c>
      <c r="D40" s="11" t="s">
        <v>57</v>
      </c>
    </row>
    <row r="42" customFormat="false" ht="19.5" hidden="false" customHeight="true" outlineLevel="0" collapsed="false">
      <c r="B42" s="3" t="s">
        <v>58</v>
      </c>
      <c r="C42" s="4"/>
      <c r="D42" s="4"/>
    </row>
    <row r="43" customFormat="false" ht="15" hidden="false" customHeight="false" outlineLevel="0" collapsed="false">
      <c r="B43" s="12" t="s">
        <v>59</v>
      </c>
      <c r="C43" s="7" t="s">
        <v>60</v>
      </c>
      <c r="D43" s="7"/>
    </row>
    <row r="44" customFormat="false" ht="15" hidden="false" customHeight="false" outlineLevel="0" collapsed="false">
      <c r="B44" s="6" t="s">
        <v>61</v>
      </c>
      <c r="C44" s="7" t="s">
        <v>62</v>
      </c>
      <c r="D44" s="7"/>
    </row>
    <row r="45" customFormat="false" ht="15" hidden="false" customHeight="false" outlineLevel="0" collapsed="false">
      <c r="B45" s="13" t="s">
        <v>63</v>
      </c>
      <c r="C45" s="7" t="s">
        <v>64</v>
      </c>
      <c r="D45" s="7"/>
    </row>
    <row r="46" customFormat="false" ht="15" hidden="false" customHeight="false" outlineLevel="0" collapsed="false">
      <c r="B46" s="14" t="s">
        <v>65</v>
      </c>
      <c r="C46" s="7" t="s">
        <v>66</v>
      </c>
      <c r="D46" s="7"/>
    </row>
    <row r="47" customFormat="false" ht="46.5" hidden="false" customHeight="true" outlineLevel="0" collapsed="false">
      <c r="B47" s="5" t="s">
        <v>67</v>
      </c>
      <c r="C47" s="5"/>
      <c r="D47" s="5"/>
    </row>
    <row r="49" customFormat="false" ht="19.5" hidden="false" customHeight="true" outlineLevel="0" collapsed="false">
      <c r="B49" s="3" t="s">
        <v>68</v>
      </c>
      <c r="C49" s="4"/>
      <c r="D49" s="4"/>
    </row>
    <row r="50" customFormat="false" ht="17.25" hidden="false" customHeight="true" outlineLevel="0" collapsed="false">
      <c r="B50" s="5" t="s">
        <v>69</v>
      </c>
      <c r="C50" s="5"/>
      <c r="D50" s="5"/>
    </row>
    <row r="51" customFormat="false" ht="17.25" hidden="false" customHeight="true" outlineLevel="0" collapsed="false">
      <c r="B51" s="5" t="s">
        <v>70</v>
      </c>
      <c r="C51" s="5"/>
      <c r="D51" s="5"/>
    </row>
    <row r="52" customFormat="false" ht="17.25" hidden="false" customHeight="true" outlineLevel="0" collapsed="false">
      <c r="B52" s="5" t="s">
        <v>71</v>
      </c>
      <c r="C52" s="5"/>
      <c r="D52" s="5"/>
    </row>
    <row r="53" customFormat="false" ht="17.25" hidden="false" customHeight="true" outlineLevel="0" collapsed="false">
      <c r="B53" s="5" t="s">
        <v>72</v>
      </c>
      <c r="C53" s="5"/>
      <c r="D53" s="5"/>
    </row>
    <row r="54" customFormat="false" ht="17.25" hidden="false" customHeight="true" outlineLevel="0" collapsed="false">
      <c r="B54" s="5" t="s">
        <v>73</v>
      </c>
      <c r="C54" s="5"/>
      <c r="D54" s="5"/>
    </row>
    <row r="56" customFormat="false" ht="19.5" hidden="false" customHeight="true" outlineLevel="0" collapsed="false">
      <c r="B56" s="3" t="s">
        <v>74</v>
      </c>
      <c r="C56" s="4"/>
      <c r="D56" s="4"/>
    </row>
    <row r="57" customFormat="false" ht="17.25" hidden="false" customHeight="true" outlineLevel="0" collapsed="false">
      <c r="B57" s="5" t="s">
        <v>75</v>
      </c>
      <c r="C57" s="5"/>
      <c r="D57" s="5"/>
    </row>
    <row r="58" customFormat="false" ht="31.5" hidden="false" customHeight="true" outlineLevel="0" collapsed="false">
      <c r="B58" s="5" t="s">
        <v>76</v>
      </c>
      <c r="C58" s="5"/>
      <c r="D58" s="5"/>
    </row>
    <row r="59" customFormat="false" ht="31.5" hidden="false" customHeight="true" outlineLevel="0" collapsed="false">
      <c r="B59" s="5" t="s">
        <v>77</v>
      </c>
      <c r="C59" s="5"/>
      <c r="D59" s="5"/>
    </row>
    <row r="60" customFormat="false" ht="46.5" hidden="false" customHeight="true" outlineLevel="0" collapsed="false">
      <c r="B60" s="5" t="s">
        <v>78</v>
      </c>
      <c r="C60" s="5"/>
      <c r="D60" s="5"/>
    </row>
    <row r="61" customFormat="false" ht="31.5" hidden="false" customHeight="true" outlineLevel="0" collapsed="false">
      <c r="B61" s="5" t="s">
        <v>79</v>
      </c>
      <c r="C61" s="5"/>
      <c r="D61" s="5"/>
    </row>
    <row r="62" customFormat="false" ht="31.5" hidden="false" customHeight="true" outlineLevel="0" collapsed="false">
      <c r="B62" s="5" t="s">
        <v>80</v>
      </c>
      <c r="C62" s="5"/>
      <c r="D62" s="5"/>
    </row>
    <row r="64" customFormat="false" ht="19.5" hidden="false" customHeight="true" outlineLevel="0" collapsed="false">
      <c r="B64" s="3" t="s">
        <v>81</v>
      </c>
      <c r="C64" s="4"/>
      <c r="D64" s="4"/>
    </row>
    <row r="65" customFormat="false" ht="31.5" hidden="false" customHeight="true" outlineLevel="0" collapsed="false">
      <c r="B65" s="5" t="s">
        <v>82</v>
      </c>
      <c r="C65" s="5"/>
      <c r="D65" s="5"/>
    </row>
    <row r="66" customFormat="false" ht="31.5" hidden="false" customHeight="true" outlineLevel="0" collapsed="false">
      <c r="B66" s="5" t="s">
        <v>83</v>
      </c>
      <c r="C66" s="5"/>
      <c r="D66" s="5"/>
    </row>
    <row r="67" customFormat="false" ht="17.25" hidden="false" customHeight="true" outlineLevel="0" collapsed="false">
      <c r="B67" s="5" t="s">
        <v>84</v>
      </c>
      <c r="C67" s="5"/>
      <c r="D67" s="5"/>
    </row>
    <row r="68" customFormat="false" ht="17.25" hidden="false" customHeight="true" outlineLevel="0" collapsed="false">
      <c r="B68" s="5" t="s">
        <v>85</v>
      </c>
      <c r="C68" s="5"/>
      <c r="D68" s="5"/>
    </row>
    <row r="70" customFormat="false" ht="19.5" hidden="false" customHeight="true" outlineLevel="0" collapsed="false">
      <c r="B70" s="3" t="s">
        <v>86</v>
      </c>
      <c r="C70" s="4"/>
      <c r="D70" s="4"/>
    </row>
    <row r="71" customFormat="false" ht="46.5" hidden="false" customHeight="true" outlineLevel="0" collapsed="false">
      <c r="B71" s="5" t="s">
        <v>87</v>
      </c>
      <c r="C71" s="5"/>
      <c r="D71" s="5"/>
    </row>
  </sheetData>
  <mergeCells count="34">
    <mergeCell ref="B5:D5"/>
    <mergeCell ref="C8:D8"/>
    <mergeCell ref="C9:D9"/>
    <mergeCell ref="C10:D10"/>
    <mergeCell ref="C11:D11"/>
    <mergeCell ref="C12:D12"/>
    <mergeCell ref="C13:D13"/>
    <mergeCell ref="B16:D16"/>
    <mergeCell ref="B17:D17"/>
    <mergeCell ref="B18:D18"/>
    <mergeCell ref="B19:D19"/>
    <mergeCell ref="B20:D20"/>
    <mergeCell ref="B21:D21"/>
    <mergeCell ref="C43:D43"/>
    <mergeCell ref="C44:D44"/>
    <mergeCell ref="C45:D45"/>
    <mergeCell ref="C46:D46"/>
    <mergeCell ref="B47:D47"/>
    <mergeCell ref="B50:D50"/>
    <mergeCell ref="B51:D51"/>
    <mergeCell ref="B52:D52"/>
    <mergeCell ref="B53:D53"/>
    <mergeCell ref="B54:D54"/>
    <mergeCell ref="B57:D57"/>
    <mergeCell ref="B58:D58"/>
    <mergeCell ref="B59:D59"/>
    <mergeCell ref="B60:D60"/>
    <mergeCell ref="B61:D61"/>
    <mergeCell ref="B62:D62"/>
    <mergeCell ref="B65:D65"/>
    <mergeCell ref="B66:D66"/>
    <mergeCell ref="B67:D67"/>
    <mergeCell ref="B68:D68"/>
    <mergeCell ref="B71:D71"/>
  </mergeCells>
  <hyperlinks>
    <hyperlink ref="B25" location="'Dashboard'!A1" display="Dashboard"/>
    <hyperlink ref="B26" location="'Assumptions'!A1" display="Assumptions"/>
    <hyperlink ref="B27" location="'Products'!A1" display="Products"/>
    <hyperlink ref="B28" location="'RawMaterials'!A1" display="RawMaterials"/>
    <hyperlink ref="B29" location="'Suppliers'!A1" display="Suppliers"/>
    <hyperlink ref="B30" location="'Sourcing'!A1" display="Sourcing"/>
    <hyperlink ref="B31" location="'BOM'!A1" display="BOM"/>
    <hyperlink ref="B32" location="'BOM_Matrix'!A1" display="BOM_Matrix"/>
    <hyperlink ref="B33" location="'WorkCentres'!A1" display="WorkCentres"/>
    <hyperlink ref="B34" location="'Routing'!A1" display="Routing"/>
    <hyperlink ref="B35" location="'Demand_Plan'!A1" display="Demand_Plan"/>
    <hyperlink ref="B36" location="'MRP'!A1" display="MRP"/>
    <hyperlink ref="B37" location="'Capacity'!A1" display="Capacity"/>
    <hyperlink ref="B38" location="'Inventory'!A1" display="Inventory"/>
    <hyperlink ref="B39" location="'Spend'!A1" display="Spend"/>
    <hyperlink ref="B40" location="'Checks'!A1" display="Checks"/>
  </hyperlink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6834"/>
    <pageSetUpPr fitToPage="true"/>
  </sheetPr>
  <dimension ref="A1:U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1" min="2" style="0" width="10.6"/>
  </cols>
  <sheetData>
    <row r="1" customFormat="false" ht="25.5" hidden="false" customHeight="true" outlineLevel="0" collapsed="false">
      <c r="A1" s="15" t="str">
        <f aca="false">Assumptions!B5&amp;"  |  "&amp;Assumptions!B6</f>
        <v>Meridian Home Appliances Pvt Ltd  |  Plant 1, Chakan (Pune), Maharashtra</v>
      </c>
    </row>
    <row r="2" customFormat="false" ht="15" hidden="false" customHeight="false" outlineLevel="0" collapsed="false">
      <c r="A2" s="16" t="str">
        <f aca="false">"Plant operating dashboard  ·  plan "&amp;TEXT(Demand_Plan!E5,"mmm-yy")&amp;" to "&amp;TEXT(Demand_Plan!P5,"mmm-yy")&amp;"  ·  stock as of "&amp;TEXT(Assumptions!B7,"dd-mmm-yyyy")&amp;"  ·  fictional company and suppliers, illustrative figures"</f>
        <v>Plant operating dashboard  ·  plan Nov-26 to Oct-27  ·  stock as of 20-Oct-2026  ·  fictional company and suppliers, illustrative figures</v>
      </c>
    </row>
    <row r="3" customFormat="false" ht="6" hidden="false" customHeight="true" outlineLevel="0" collapsed="false"/>
    <row r="4" customFormat="false" ht="21.75" hidden="false" customHeight="true" outlineLevel="0" collapsed="false">
      <c r="B4" s="17" t="s">
        <v>5</v>
      </c>
      <c r="C4" s="17"/>
      <c r="D4" s="17" t="s">
        <v>6</v>
      </c>
      <c r="E4" s="17"/>
      <c r="F4" s="17" t="s">
        <v>8</v>
      </c>
      <c r="G4" s="17"/>
      <c r="H4" s="17" t="s">
        <v>7</v>
      </c>
      <c r="I4" s="17"/>
      <c r="J4" s="17" t="s">
        <v>88</v>
      </c>
      <c r="K4" s="17"/>
      <c r="L4" s="17" t="s">
        <v>89</v>
      </c>
      <c r="M4" s="17"/>
      <c r="N4" s="17" t="s">
        <v>90</v>
      </c>
      <c r="O4" s="17"/>
    </row>
    <row r="5" customFormat="false" ht="31.5" hidden="false" customHeight="true" outlineLevel="0" collapsed="false">
      <c r="B5" s="18" t="n">
        <f aca="false">Products!R18</f>
        <v>2620700</v>
      </c>
      <c r="C5" s="18"/>
      <c r="D5" s="19" t="n">
        <f aca="false">Products!S18*Assumptions!$B$20/Assumptions!$B$21</f>
        <v>363.876175</v>
      </c>
      <c r="E5" s="19"/>
      <c r="F5" s="20" t="n">
        <f aca="false">Products!Q18</f>
        <v>0.295876493993093</v>
      </c>
      <c r="G5" s="20"/>
      <c r="H5" s="19" t="n">
        <f aca="false">Spend!M15*Assumptions!$B$20/Assumptions!$B$21</f>
        <v>161.579919818383</v>
      </c>
      <c r="I5" s="19"/>
      <c r="J5" s="20" t="n">
        <f aca="false">MRP!V15</f>
        <v>0.119756546399415</v>
      </c>
      <c r="K5" s="20"/>
      <c r="L5" s="21" t="n">
        <f aca="false">MAX(Capacity!R18:R26)</f>
        <v>1.0877296722885</v>
      </c>
      <c r="M5" s="21"/>
      <c r="N5" s="18" t="n">
        <f aca="false">SUM(Capacity!T18:T26)</f>
        <v>5</v>
      </c>
      <c r="O5" s="18"/>
    </row>
    <row r="6" customFormat="false" ht="24" hidden="false" customHeight="true" outlineLevel="0" collapsed="false">
      <c r="B6" s="22" t="str">
        <f aca="false">"units across 15 products"</f>
        <v>units across 15 products</v>
      </c>
      <c r="C6" s="22"/>
      <c r="D6" s="22" t="str">
        <f aca="false">"₹ "&amp;TEXT(Products!S18,"#,##0")&amp;" lakh"</f>
        <v>₹ 36,388 lakh</v>
      </c>
      <c r="E6" s="22"/>
      <c r="F6" s="22" t="str">
        <f aca="false">"₹ "&amp;TEXT(Products!T18*Assumptions!$B$20/Assumptions!$B$21,"#,##0.0")&amp;" cr gross profit"</f>
        <v>₹ 107.7 cr gross profit</v>
      </c>
      <c r="G6" s="22"/>
      <c r="H6" s="22" t="str">
        <f aca="false">TEXT(Spend!M15/Products!S18,"0.0%")&amp;" of revenue"</f>
        <v>44.4% of revenue</v>
      </c>
      <c r="I6" s="22"/>
      <c r="J6" s="22" t="str">
        <f aca="false">TEXT(MRP!U15/1000,"#,##0")&amp;" tonnes of scrap a year"</f>
        <v>1,028 tonnes of scrap a year</v>
      </c>
      <c r="K6" s="22"/>
      <c r="L6" s="22" t="str">
        <f aca="false">INDEX(WorkCentres!$C$2:$C$10,MATCH(INDEX(Capacity!A18:A26,MATCH(MAX(Capacity!R18:R26),Capacity!R18:R26,0)),WorkCentres!$A$2:$A$10,0))&amp;" - "&amp;TEXT(INDEX(Capacity!S18:S26,MATCH(MAX(Capacity!R18:R26),Capacity!R18:R26,0)),"mmm-yy")</f>
        <v>FA-1 Fans &amp; coolers - Apr-27</v>
      </c>
      <c r="M6" s="22"/>
      <c r="N6" s="22" t="str">
        <f aca="false">"of "&amp;COUNT(Capacity!E18:P26)&amp;" (9 centres x 12 months)"</f>
        <v>of 108 (9 centres x 12 months)</v>
      </c>
      <c r="O6" s="22"/>
    </row>
    <row r="7" customFormat="false" ht="7.5" hidden="false" customHeight="true" outlineLevel="0" collapsed="false"/>
    <row r="8" customFormat="false" ht="21.75" hidden="false" customHeight="true" outlineLevel="0" collapsed="false">
      <c r="B8" s="17" t="s">
        <v>91</v>
      </c>
      <c r="C8" s="17"/>
      <c r="D8" s="17" t="s">
        <v>92</v>
      </c>
      <c r="E8" s="17"/>
      <c r="F8" s="17" t="s">
        <v>93</v>
      </c>
      <c r="G8" s="17"/>
      <c r="H8" s="17" t="s">
        <v>94</v>
      </c>
      <c r="I8" s="17"/>
      <c r="J8" s="17" t="s">
        <v>95</v>
      </c>
      <c r="K8" s="17"/>
      <c r="L8" s="17" t="s">
        <v>96</v>
      </c>
      <c r="M8" s="17"/>
      <c r="N8" s="17" t="s">
        <v>97</v>
      </c>
      <c r="O8" s="17"/>
    </row>
    <row r="9" customFormat="false" ht="31.5" hidden="false" customHeight="true" outlineLevel="0" collapsed="false">
      <c r="B9" s="18" t="n">
        <f aca="false">COUNTIF(Suppliers!T2:T11,"&gt;0")</f>
        <v>6</v>
      </c>
      <c r="C9" s="18"/>
      <c r="D9" s="20" t="n">
        <f aca="false">MAX(Suppliers!R2:R11)</f>
        <v>0.327478393886838</v>
      </c>
      <c r="E9" s="20"/>
      <c r="F9" s="20" t="n">
        <f aca="false">SUMIF(Suppliers!S2:S11,"Import",Suppliers!Q2:Q11)/SUM(Suppliers!Q2:Q11)</f>
        <v>0.0479913097376053</v>
      </c>
      <c r="G9" s="20"/>
      <c r="H9" s="18" t="n">
        <f aca="false">COUNTIF(RawMaterials!R2:R11,"Yes")</f>
        <v>2</v>
      </c>
      <c r="I9" s="18"/>
      <c r="J9" s="18" t="n">
        <f aca="false">COUNTIF(Inventory!O5:O14,"REORDER NOW")</f>
        <v>2</v>
      </c>
      <c r="K9" s="18"/>
      <c r="L9" s="19" t="n">
        <f aca="false">Inventory!T15*Assumptions!$B$20/Assumptions!$B$21</f>
        <v>7.189056</v>
      </c>
      <c r="M9" s="19"/>
      <c r="N9" s="23" t="str">
        <f aca="false">COUNTIF(Checks!C5:C37,"PASS")&amp;" / "&amp;COUNTA(Checks!C5:C37)</f>
        <v>33 / 33</v>
      </c>
      <c r="O9" s="23"/>
    </row>
    <row r="10" customFormat="false" ht="24" hidden="false" customHeight="true" outlineLevel="0" collapsed="false">
      <c r="B10" s="22" t="str">
        <f aca="false">"of "&amp;COUNTA(Suppliers!A2:A11)&amp;" suppliers"</f>
        <v>of 10 suppliers</v>
      </c>
      <c r="C10" s="22"/>
      <c r="D10" s="22" t="str">
        <f aca="false">INDEX(Suppliers!C2:C11,MATCH(MAX(Suppliers!R2:R11),Suppliers!R2:R11,0))&amp;" (share of RM spend)"</f>
        <v>Vadodara Wires (share of RM spend)</v>
      </c>
      <c r="E10" s="22"/>
      <c r="F10" s="22" t="str">
        <f aca="false">COUNTIF(Suppliers!S2:S11,"Import")&amp;" import supplier(s)"</f>
        <v>1 import supplier(s)</v>
      </c>
      <c r="G10" s="22"/>
      <c r="H10" s="22" t="str">
        <f aca="false">"of "&amp;COUNTA(RawMaterials!A2:A11)&amp;" raw materials"</f>
        <v>of 10 raw materials</v>
      </c>
      <c r="I10" s="22"/>
      <c r="J10" s="22" t="str">
        <f aca="false">COUNTIF(Inventory!O5:O14,"WATCH")&amp;" more on watch"</f>
        <v>1 more on watch</v>
      </c>
      <c r="K10" s="22"/>
      <c r="L10" s="22" t="str">
        <f aca="false">TEXT(Inventory!E19,"0")&amp;" days of annual spend"</f>
        <v>16 days of annual spend</v>
      </c>
      <c r="M10" s="22"/>
      <c r="N10" s="22" t="str">
        <f aca="false">IF(COUNTIF(Checks!C5:C37,"PASS")=ROWS(Checks!C5:C37),"all checks pass","see Checks sheet")</f>
        <v>all checks pass</v>
      </c>
      <c r="O10" s="22"/>
    </row>
    <row r="11" customFormat="false" ht="7.5" hidden="false" customHeight="true" outlineLevel="0" collapsed="false"/>
    <row r="12" customFormat="false" ht="19.5" hidden="false" customHeight="true" outlineLevel="0" collapsed="false">
      <c r="B12" s="3" t="s">
        <v>98</v>
      </c>
      <c r="C12" s="4"/>
      <c r="D12" s="4"/>
      <c r="E12" s="4"/>
      <c r="F12" s="4"/>
      <c r="G12" s="4"/>
      <c r="H12" s="4"/>
      <c r="I12" s="4"/>
      <c r="J12" s="4"/>
      <c r="K12" s="4"/>
      <c r="L12" s="4"/>
      <c r="M12" s="4"/>
      <c r="N12" s="4"/>
      <c r="O12" s="4"/>
    </row>
    <row r="13" customFormat="false" ht="30" hidden="false" customHeight="true" outlineLevel="0" collapsed="false">
      <c r="B13" s="24" t="str">
        <f aca="false">"Cost: "&amp;INDEX(Spend!$C$3:$L$3,MATCH(MAX(Spend!$C$16:$L$16),Spend!$C$16:$L$16,0))&amp;" is the biggest cost line at "&amp;TEXT(MAX(Spend!$C$16:$L$16),"0%")&amp;" of raw-material spend, and "&amp;INDEX(Suppliers!$C$2:$C$11,MATCH(MAX(Suppliers!$R$2:$R$11),Suppliers!$R$2:$R$11,0))&amp;" alone supplies "&amp;TEXT(MAX(Suppliers!$R$2:$R$11),"0%")&amp;" of the total - a price or delivery shock there moves the plant margin."</f>
        <v>Cost: Copper winding wire is the biggest cost line at 41% of raw-material spend, and Vadodara Wires alone supplies 33% of the total - a price or delivery shock there moves the plant margin.</v>
      </c>
      <c r="C13" s="24"/>
      <c r="D13" s="24"/>
      <c r="E13" s="24"/>
      <c r="F13" s="24"/>
      <c r="G13" s="24"/>
      <c r="H13" s="24"/>
      <c r="I13" s="24"/>
      <c r="J13" s="24"/>
      <c r="K13" s="24"/>
      <c r="L13" s="24"/>
      <c r="M13" s="24"/>
      <c r="N13" s="24"/>
      <c r="O13" s="24"/>
    </row>
    <row r="14" customFormat="false" ht="30" hidden="false" customHeight="true" outlineLevel="0" collapsed="false">
      <c r="B14" s="24" t="str">
        <f aca="false">"Capacity: "&amp;INDEX(WorkCentres!$C$2:$C$10,MATCH(INDEX(Capacity!$A$18:$A$26,MATCH(MAX(Capacity!$R$18:$R$26),Capacity!$R$18:$R$26,0)),WorkCentres!$A$2:$A$10,0))&amp;" is the tightest centre at "&amp;TEXT(MAX(Capacity!$R$18:$R$26),"0%")&amp;" in "&amp;TEXT(INDEX(Capacity!$S$18:$S$26,MATCH(MAX(Capacity!$R$18:$R$26),Capacity!$R$18:$R$26,0)),"mmm-yy")&amp;IF(SUM(Capacity!$T$18:$T$26)&gt;0,"; "&amp;SUM(Capacity!$T$18:$T$26)&amp;" work-centre months exceed 100% and need a 3rd shift, overtime or off-season pre-build.","; no work centre exceeds 100%.")</f>
        <v>Capacity: FA-1 Fans &amp; coolers is the tightest centre at 109% in Apr-27; 5 work-centre months exceed 100% and need a 3rd shift, overtime or off-season pre-build.</v>
      </c>
      <c r="C14" s="24"/>
      <c r="D14" s="24"/>
      <c r="E14" s="24"/>
      <c r="F14" s="24"/>
      <c r="G14" s="24"/>
      <c r="H14" s="24"/>
      <c r="I14" s="24"/>
      <c r="J14" s="24"/>
      <c r="K14" s="24"/>
      <c r="L14" s="24"/>
      <c r="M14" s="24"/>
      <c r="N14" s="24"/>
      <c r="O14" s="24"/>
    </row>
    <row r="15" customFormat="false" ht="30" hidden="false" customHeight="true" outlineLevel="0" collapsed="false">
      <c r="B15" s="24" t="str">
        <f aca="false">"Supply: "&amp;COUNTIF(Inventory!$O$5:$O$14,"REORDER NOW")&amp;" material(s) at or below the reorder point today (suggested orders worth ₹"&amp;TEXT(Inventory!$S$15,"#,##0")&amp;" lakh), "&amp;COUNTIF(Inventory!$O$5:$O$14,"WATCH")&amp;" more on watch; "&amp;COUNTIF(RawMaterials!$R$2:$R$11,"Yes")&amp;" material(s) depend on a single supplier."</f>
        <v>Supply: 2 material(s) at or below the reorder point today (suggested orders worth ₹221 lakh), 1 more on watch; 2 material(s) depend on a single supplier.</v>
      </c>
      <c r="C15" s="24"/>
      <c r="D15" s="24"/>
      <c r="E15" s="24"/>
      <c r="F15" s="24"/>
      <c r="G15" s="24"/>
      <c r="H15" s="24"/>
      <c r="I15" s="24"/>
      <c r="J15" s="24"/>
      <c r="K15" s="24"/>
      <c r="L15" s="24"/>
      <c r="M15" s="24"/>
      <c r="N15" s="24"/>
      <c r="O15" s="24"/>
    </row>
    <row r="17" customFormat="false" ht="19.5" hidden="false" customHeight="true" outlineLevel="0" collapsed="false">
      <c r="B17" s="3" t="s">
        <v>99</v>
      </c>
      <c r="C17" s="4"/>
      <c r="D17" s="4"/>
      <c r="E17" s="4"/>
      <c r="F17" s="4"/>
      <c r="G17" s="4"/>
      <c r="H17" s="4"/>
      <c r="I17" s="4"/>
      <c r="J17" s="4"/>
      <c r="K17" s="4"/>
      <c r="L17" s="4"/>
      <c r="M17" s="4"/>
      <c r="N17" s="4"/>
      <c r="O17" s="4"/>
    </row>
    <row r="18" customFormat="false" ht="15" hidden="false" customHeight="true" outlineLevel="0" collapsed="false">
      <c r="B18" s="8" t="s">
        <v>100</v>
      </c>
      <c r="C18" s="8"/>
      <c r="D18" s="25" t="n">
        <f aca="false">Capacity!E$17</f>
        <v>46327</v>
      </c>
      <c r="E18" s="25" t="n">
        <f aca="false">Capacity!F$17</f>
        <v>46357</v>
      </c>
      <c r="F18" s="25" t="n">
        <f aca="false">Capacity!G$17</f>
        <v>46388</v>
      </c>
      <c r="G18" s="25" t="n">
        <f aca="false">Capacity!H$17</f>
        <v>46419</v>
      </c>
      <c r="H18" s="25" t="n">
        <f aca="false">Capacity!I$17</f>
        <v>46447</v>
      </c>
      <c r="I18" s="25" t="n">
        <f aca="false">Capacity!J$17</f>
        <v>46478</v>
      </c>
      <c r="J18" s="25" t="n">
        <f aca="false">Capacity!K$17</f>
        <v>46508</v>
      </c>
      <c r="K18" s="25" t="n">
        <f aca="false">Capacity!L$17</f>
        <v>46539</v>
      </c>
      <c r="L18" s="25" t="n">
        <f aca="false">Capacity!M$17</f>
        <v>46569</v>
      </c>
      <c r="M18" s="25" t="n">
        <f aca="false">Capacity!N$17</f>
        <v>46600</v>
      </c>
      <c r="N18" s="25" t="n">
        <f aca="false">Capacity!O$17</f>
        <v>46631</v>
      </c>
      <c r="O18" s="25" t="n">
        <f aca="false">Capacity!P$17</f>
        <v>46661</v>
      </c>
    </row>
    <row r="19" customFormat="false" ht="15" hidden="false" customHeight="false" outlineLevel="0" collapsed="false">
      <c r="B19" s="7" t="str">
        <f aca="false">INDEX(WorkCentres!$C$2:$C$10,MATCH(Capacity!$A18,WorkCentres!$A$2:$A$10,0))</f>
        <v>Press shop</v>
      </c>
      <c r="C19" s="7"/>
      <c r="D19" s="26" t="n">
        <f aca="false">Capacity!E18</f>
        <v>0.620297237484737</v>
      </c>
      <c r="E19" s="26" t="n">
        <f aca="false">Capacity!F18</f>
        <v>0.569055727258852</v>
      </c>
      <c r="F19" s="26" t="n">
        <f aca="false">Capacity!G18</f>
        <v>0.568434495192308</v>
      </c>
      <c r="G19" s="26" t="n">
        <f aca="false">Capacity!H18</f>
        <v>0.676912822420635</v>
      </c>
      <c r="H19" s="26" t="n">
        <f aca="false">Capacity!I18</f>
        <v>0.879996088980464</v>
      </c>
      <c r="I19" s="26" t="n">
        <f aca="false">Capacity!J18</f>
        <v>0.967387105082418</v>
      </c>
      <c r="J19" s="26" t="n">
        <f aca="false">Capacity!K18</f>
        <v>0.922867063492064</v>
      </c>
      <c r="K19" s="26" t="n">
        <f aca="false">Capacity!L18</f>
        <v>0.775469322344322</v>
      </c>
      <c r="L19" s="26" t="n">
        <f aca="false">Capacity!M18</f>
        <v>0.595722203144078</v>
      </c>
      <c r="M19" s="26" t="n">
        <f aca="false">Capacity!N18</f>
        <v>0.555183531746032</v>
      </c>
      <c r="N19" s="26" t="n">
        <f aca="false">Capacity!O18</f>
        <v>0.655350942460317</v>
      </c>
      <c r="O19" s="26" t="n">
        <f aca="false">Capacity!P18</f>
        <v>0.739350818452381</v>
      </c>
    </row>
    <row r="20" customFormat="false" ht="15" hidden="false" customHeight="false" outlineLevel="0" collapsed="false">
      <c r="B20" s="7" t="str">
        <f aca="false">INDEX(WorkCentres!$C$2:$C$10,MATCH(Capacity!$A19,WorkCentres!$A$2:$A$10,0))</f>
        <v>Al die-casting</v>
      </c>
      <c r="C20" s="7"/>
      <c r="D20" s="26" t="n">
        <f aca="false">Capacity!E19</f>
        <v>0.693760175010175</v>
      </c>
      <c r="E20" s="26" t="n">
        <f aca="false">Capacity!F19</f>
        <v>0.612772181522182</v>
      </c>
      <c r="F20" s="26" t="n">
        <f aca="false">Capacity!G19</f>
        <v>0.601689051689052</v>
      </c>
      <c r="G20" s="26" t="n">
        <f aca="false">Capacity!H19</f>
        <v>0.717890211640212</v>
      </c>
      <c r="H20" s="26" t="n">
        <f aca="false">Capacity!I19</f>
        <v>0.91447903947904</v>
      </c>
      <c r="I20" s="26" t="n">
        <f aca="false">Capacity!J19</f>
        <v>0.988532763532764</v>
      </c>
      <c r="J20" s="26" t="n">
        <f aca="false">Capacity!K19</f>
        <v>0.948911273911274</v>
      </c>
      <c r="K20" s="26" t="n">
        <f aca="false">Capacity!L19</f>
        <v>0.822585978835979</v>
      </c>
      <c r="L20" s="26" t="n">
        <f aca="false">Capacity!M19</f>
        <v>0.661383292633293</v>
      </c>
      <c r="M20" s="26" t="n">
        <f aca="false">Capacity!N19</f>
        <v>0.628617216117216</v>
      </c>
      <c r="N20" s="26" t="n">
        <f aca="false">Capacity!O19</f>
        <v>0.717554436304436</v>
      </c>
      <c r="O20" s="26" t="n">
        <f aca="false">Capacity!P19</f>
        <v>0.801129426129426</v>
      </c>
    </row>
    <row r="21" customFormat="false" ht="15" hidden="false" customHeight="false" outlineLevel="0" collapsed="false">
      <c r="B21" s="7" t="str">
        <f aca="false">INDEX(WorkCentres!$C$2:$C$10,MATCH(Capacity!$A20,WorkCentres!$A$2:$A$10,0))</f>
        <v>Injection moulding</v>
      </c>
      <c r="C21" s="7"/>
      <c r="D21" s="26" t="n">
        <f aca="false">Capacity!E20</f>
        <v>0.72080328525641</v>
      </c>
      <c r="E21" s="26" t="n">
        <f aca="false">Capacity!F20</f>
        <v>0.690402560763889</v>
      </c>
      <c r="F21" s="26" t="n">
        <f aca="false">Capacity!G20</f>
        <v>0.672997629540598</v>
      </c>
      <c r="G21" s="26" t="n">
        <f aca="false">Capacity!H20</f>
        <v>0.718011318108974</v>
      </c>
      <c r="H21" s="26" t="n">
        <f aca="false">Capacity!I20</f>
        <v>0.92942875267094</v>
      </c>
      <c r="I21" s="26" t="n">
        <f aca="false">Capacity!J20</f>
        <v>1.01587122729701</v>
      </c>
      <c r="J21" s="26" t="n">
        <f aca="false">Capacity!K20</f>
        <v>0.951413928952991</v>
      </c>
      <c r="K21" s="26" t="n">
        <f aca="false">Capacity!L20</f>
        <v>0.757432725694444</v>
      </c>
      <c r="L21" s="26" t="n">
        <f aca="false">Capacity!M20</f>
        <v>0.607096354166667</v>
      </c>
      <c r="M21" s="26" t="n">
        <f aca="false">Capacity!N20</f>
        <v>0.550176115117521</v>
      </c>
      <c r="N21" s="26" t="n">
        <f aca="false">Capacity!O20</f>
        <v>0.603354951255342</v>
      </c>
      <c r="O21" s="26" t="n">
        <f aca="false">Capacity!P20</f>
        <v>0.709067841880342</v>
      </c>
    </row>
    <row r="22" customFormat="false" ht="15" hidden="false" customHeight="false" outlineLevel="0" collapsed="false">
      <c r="B22" s="7" t="str">
        <f aca="false">INDEX(WorkCentres!$C$2:$C$10,MATCH(Capacity!$A21,WorkCentres!$A$2:$A$10,0))</f>
        <v>Winding &amp; motor</v>
      </c>
      <c r="C22" s="7"/>
      <c r="D22" s="26" t="n">
        <f aca="false">Capacity!E21</f>
        <v>0.666800065618663</v>
      </c>
      <c r="E22" s="26" t="n">
        <f aca="false">Capacity!F21</f>
        <v>0.631715845130479</v>
      </c>
      <c r="F22" s="26" t="n">
        <f aca="false">Capacity!G21</f>
        <v>0.63028191743893</v>
      </c>
      <c r="G22" s="26" t="n">
        <f aca="false">Capacity!H21</f>
        <v>0.696409154869521</v>
      </c>
      <c r="H22" s="26" t="n">
        <f aca="false">Capacity!I21</f>
        <v>0.845160830869672</v>
      </c>
      <c r="I22" s="26" t="n">
        <f aca="false">Capacity!J21</f>
        <v>0.906454021926583</v>
      </c>
      <c r="J22" s="26" t="n">
        <f aca="false">Capacity!K21</f>
        <v>0.863792267184036</v>
      </c>
      <c r="K22" s="26" t="n">
        <f aca="false">Capacity!L21</f>
        <v>0.736021684954612</v>
      </c>
      <c r="L22" s="26" t="n">
        <f aca="false">Capacity!M21</f>
        <v>0.582485561525196</v>
      </c>
      <c r="M22" s="26" t="n">
        <f aca="false">Capacity!N21</f>
        <v>0.548535454213808</v>
      </c>
      <c r="N22" s="26" t="n">
        <f aca="false">Capacity!O21</f>
        <v>0.64124624528588</v>
      </c>
      <c r="O22" s="26" t="n">
        <f aca="false">Capacity!P21</f>
        <v>0.749341592519946</v>
      </c>
    </row>
    <row r="23" customFormat="false" ht="15" hidden="false" customHeight="false" outlineLevel="0" collapsed="false">
      <c r="B23" s="7" t="str">
        <f aca="false">INDEX(WorkCentres!$C$2:$C$10,MATCH(Capacity!$A22,WorkCentres!$A$2:$A$10,0))</f>
        <v>Powder coating</v>
      </c>
      <c r="C23" s="7"/>
      <c r="D23" s="26" t="n">
        <f aca="false">Capacity!E22</f>
        <v>0.479468003506465</v>
      </c>
      <c r="E23" s="26" t="n">
        <f aca="false">Capacity!F22</f>
        <v>0.444831388341004</v>
      </c>
      <c r="F23" s="26" t="n">
        <f aca="false">Capacity!G22</f>
        <v>0.467140587332895</v>
      </c>
      <c r="G23" s="26" t="n">
        <f aca="false">Capacity!H22</f>
        <v>0.600242439184747</v>
      </c>
      <c r="H23" s="26" t="n">
        <f aca="false">Capacity!I22</f>
        <v>0.861960333114179</v>
      </c>
      <c r="I23" s="26" t="n">
        <f aca="false">Capacity!J22</f>
        <v>0.989891518737673</v>
      </c>
      <c r="J23" s="26" t="n">
        <f aca="false">Capacity!K22</f>
        <v>0.94126671049748</v>
      </c>
      <c r="K23" s="26" t="n">
        <f aca="false">Capacity!L22</f>
        <v>0.766731043173351</v>
      </c>
      <c r="L23" s="26" t="n">
        <f aca="false">Capacity!M22</f>
        <v>0.544803309226386</v>
      </c>
      <c r="M23" s="26" t="n">
        <f aca="false">Capacity!N22</f>
        <v>0.487686280955512</v>
      </c>
      <c r="N23" s="26" t="n">
        <f aca="false">Capacity!O22</f>
        <v>0.598547419460881</v>
      </c>
      <c r="O23" s="26" t="n">
        <f aca="false">Capacity!P22</f>
        <v>0.630513094455402</v>
      </c>
    </row>
    <row r="24" customFormat="false" ht="15" hidden="false" customHeight="false" outlineLevel="0" collapsed="false">
      <c r="B24" s="7" t="str">
        <f aca="false">INDEX(WorkCentres!$C$2:$C$10,MATCH(Capacity!$A23,WorkCentres!$A$2:$A$10,0))</f>
        <v>FA-1 Fans &amp; coolers</v>
      </c>
      <c r="C24" s="7"/>
      <c r="D24" s="26" t="n">
        <f aca="false">Capacity!E23</f>
        <v>0.353014020293432</v>
      </c>
      <c r="E24" s="26" t="n">
        <f aca="false">Capacity!F23</f>
        <v>0.298745372274784</v>
      </c>
      <c r="F24" s="26" t="n">
        <f aca="false">Capacity!G23</f>
        <v>0.322055395584807</v>
      </c>
      <c r="G24" s="26" t="n">
        <f aca="false">Capacity!H23</f>
        <v>0.526810811737282</v>
      </c>
      <c r="H24" s="26" t="n">
        <f aca="false">Capacity!I23</f>
        <v>0.910719182778006</v>
      </c>
      <c r="I24" s="26" t="n">
        <f aca="false">Capacity!J23</f>
        <v>1.0877296722885</v>
      </c>
      <c r="J24" s="26" t="n">
        <f aca="false">Capacity!K23</f>
        <v>1.02486973810503</v>
      </c>
      <c r="K24" s="26" t="n">
        <f aca="false">Capacity!L23</f>
        <v>0.793547751268339</v>
      </c>
      <c r="L24" s="26" t="n">
        <f aca="false">Capacity!M23</f>
        <v>0.536837549705197</v>
      </c>
      <c r="M24" s="26" t="n">
        <f aca="false">Capacity!N23</f>
        <v>0.459473124914301</v>
      </c>
      <c r="N24" s="26" t="n">
        <f aca="false">Capacity!O23</f>
        <v>0.559783353901001</v>
      </c>
      <c r="O24" s="26" t="n">
        <f aca="false">Capacity!P23</f>
        <v>0.549156725627314</v>
      </c>
    </row>
    <row r="25" customFormat="false" ht="15" hidden="false" customHeight="false" outlineLevel="0" collapsed="false">
      <c r="B25" s="7" t="str">
        <f aca="false">INDEX(WorkCentres!$C$2:$C$10,MATCH(Capacity!$A24,WorkCentres!$A$2:$A$10,0))</f>
        <v>FA-2 Kitchen</v>
      </c>
      <c r="C25" s="7"/>
      <c r="D25" s="26" t="n">
        <f aca="false">Capacity!E24</f>
        <v>0.895471970839618</v>
      </c>
      <c r="E25" s="26" t="n">
        <f aca="false">Capacity!F24</f>
        <v>0.792130153343389</v>
      </c>
      <c r="F25" s="26" t="n">
        <f aca="false">Capacity!G24</f>
        <v>0.716283308195073</v>
      </c>
      <c r="G25" s="26" t="n">
        <f aca="false">Capacity!H24</f>
        <v>0.707956259426848</v>
      </c>
      <c r="H25" s="26" t="n">
        <f aca="false">Capacity!I24</f>
        <v>0.634741075917547</v>
      </c>
      <c r="I25" s="26" t="n">
        <f aca="false">Capacity!J24</f>
        <v>0.561997234791352</v>
      </c>
      <c r="J25" s="26" t="n">
        <f aca="false">Capacity!K24</f>
        <v>0.55649824032177</v>
      </c>
      <c r="K25" s="26" t="n">
        <f aca="false">Capacity!L24</f>
        <v>0.570088612368024</v>
      </c>
      <c r="L25" s="26" t="n">
        <f aca="false">Capacity!M24</f>
        <v>0.586821266968326</v>
      </c>
      <c r="M25" s="26" t="n">
        <f aca="false">Capacity!N24</f>
        <v>0.621622046254399</v>
      </c>
      <c r="N25" s="26" t="n">
        <f aca="false">Capacity!O24</f>
        <v>0.683250062845651</v>
      </c>
      <c r="O25" s="26" t="n">
        <f aca="false">Capacity!P24</f>
        <v>0.89358660130719</v>
      </c>
    </row>
    <row r="26" customFormat="false" ht="15" hidden="false" customHeight="false" outlineLevel="0" collapsed="false">
      <c r="B26" s="7" t="str">
        <f aca="false">INDEX(WorkCentres!$C$2:$C$10,MATCH(Capacity!$A25,WorkCentres!$A$2:$A$10,0))</f>
        <v>FA-3 Heating &amp; pumps</v>
      </c>
      <c r="C26" s="7"/>
      <c r="D26" s="26" t="n">
        <f aca="false">Capacity!E25</f>
        <v>0.903799019607843</v>
      </c>
      <c r="E26" s="26" t="n">
        <f aca="false">Capacity!F25</f>
        <v>1.03122979961215</v>
      </c>
      <c r="F26" s="26" t="n">
        <f aca="false">Capacity!G25</f>
        <v>1.05530192846369</v>
      </c>
      <c r="G26" s="26" t="n">
        <f aca="false">Capacity!H25</f>
        <v>0.791686867054514</v>
      </c>
      <c r="H26" s="26" t="n">
        <f aca="false">Capacity!I25</f>
        <v>0.557867377720319</v>
      </c>
      <c r="I26" s="26" t="n">
        <f aca="false">Capacity!J25</f>
        <v>0.473194085326438</v>
      </c>
      <c r="J26" s="26" t="n">
        <f aca="false">Capacity!K25</f>
        <v>0.446260234863176</v>
      </c>
      <c r="K26" s="26" t="n">
        <f aca="false">Capacity!L25</f>
        <v>0.443903522947641</v>
      </c>
      <c r="L26" s="26" t="n">
        <f aca="false">Capacity!M25</f>
        <v>0.419999730661495</v>
      </c>
      <c r="M26" s="26" t="n">
        <f aca="false">Capacity!N25</f>
        <v>0.418989711269123</v>
      </c>
      <c r="N26" s="26" t="n">
        <f aca="false">Capacity!O25</f>
        <v>0.468648998060763</v>
      </c>
      <c r="O26" s="26" t="n">
        <f aca="false">Capacity!P25</f>
        <v>0.677723012281836</v>
      </c>
    </row>
    <row r="27" customFormat="false" ht="15" hidden="false" customHeight="false" outlineLevel="0" collapsed="false">
      <c r="B27" s="7" t="str">
        <f aca="false">INDEX(WorkCentres!$C$2:$C$10,MATCH(Capacity!$A26,WorkCentres!$A$2:$A$10,0))</f>
        <v>Packing &amp; dispatch</v>
      </c>
      <c r="C27" s="7"/>
      <c r="D27" s="26" t="n">
        <f aca="false">Capacity!E26</f>
        <v>0.666171935703186</v>
      </c>
      <c r="E27" s="26" t="n">
        <f aca="false">Capacity!F26</f>
        <v>0.63628320464258</v>
      </c>
      <c r="F27" s="26" t="n">
        <f aca="false">Capacity!G26</f>
        <v>0.631851872086247</v>
      </c>
      <c r="G27" s="26" t="n">
        <f aca="false">Capacity!H26</f>
        <v>0.69063531954157</v>
      </c>
      <c r="H27" s="26" t="n">
        <f aca="false">Capacity!I26</f>
        <v>0.850019121503497</v>
      </c>
      <c r="I27" s="26" t="n">
        <f aca="false">Capacity!J26</f>
        <v>0.913264253108003</v>
      </c>
      <c r="J27" s="26" t="n">
        <f aca="false">Capacity!K26</f>
        <v>0.865437730672106</v>
      </c>
      <c r="K27" s="26" t="n">
        <f aca="false">Capacity!L26</f>
        <v>0.728248530982906</v>
      </c>
      <c r="L27" s="26" t="n">
        <f aca="false">Capacity!M26</f>
        <v>0.582818873834499</v>
      </c>
      <c r="M27" s="26" t="n">
        <f aca="false">Capacity!N26</f>
        <v>0.546207264957265</v>
      </c>
      <c r="N27" s="26" t="n">
        <f aca="false">Capacity!O26</f>
        <v>0.632216091200466</v>
      </c>
      <c r="O27" s="26" t="n">
        <f aca="false">Capacity!P26</f>
        <v>0.736891147047397</v>
      </c>
    </row>
    <row r="30" customFormat="false" ht="19.5" hidden="false" customHeight="true" outlineLevel="0" collapsed="false">
      <c r="B30" s="3" t="s">
        <v>101</v>
      </c>
      <c r="C30" s="4"/>
      <c r="D30" s="4"/>
      <c r="E30" s="4"/>
      <c r="F30" s="4"/>
      <c r="G30" s="4"/>
      <c r="H30" s="4"/>
      <c r="I30" s="4"/>
      <c r="J30" s="4"/>
      <c r="K30" s="4"/>
      <c r="L30" s="4"/>
      <c r="M30" s="4"/>
      <c r="N30" s="4"/>
      <c r="O30" s="4"/>
    </row>
    <row r="85" customFormat="false" ht="15" hidden="false" customHeight="false" outlineLevel="0" collapsed="false">
      <c r="B85" s="27" t="s">
        <v>102</v>
      </c>
    </row>
    <row r="92" customFormat="false" ht="19.5" hidden="false" customHeight="true" outlineLevel="0" collapsed="false">
      <c r="B92" s="3" t="s">
        <v>103</v>
      </c>
      <c r="C92" s="4"/>
      <c r="D92" s="4"/>
      <c r="E92" s="4"/>
      <c r="F92" s="4"/>
      <c r="G92" s="4"/>
      <c r="H92" s="4"/>
      <c r="I92" s="4"/>
      <c r="J92" s="4"/>
      <c r="K92" s="4"/>
      <c r="L92" s="4"/>
      <c r="M92" s="4"/>
      <c r="N92" s="4"/>
      <c r="O92" s="4"/>
    </row>
    <row r="94" customFormat="false" ht="15" hidden="false" customHeight="false" outlineLevel="0" collapsed="false">
      <c r="B94" s="28" t="s">
        <v>104</v>
      </c>
      <c r="G94" s="28" t="s">
        <v>105</v>
      </c>
    </row>
    <row r="95" customFormat="false" ht="15" hidden="false" customHeight="true" outlineLevel="0" collapsed="false">
      <c r="B95" s="8" t="s">
        <v>106</v>
      </c>
      <c r="C95" s="8"/>
      <c r="D95" s="8" t="s">
        <v>107</v>
      </c>
      <c r="E95" s="8" t="s">
        <v>108</v>
      </c>
      <c r="G95" s="8" t="s">
        <v>109</v>
      </c>
      <c r="H95" s="8"/>
      <c r="I95" s="8" t="s">
        <v>107</v>
      </c>
      <c r="J95" s="8" t="s">
        <v>108</v>
      </c>
    </row>
    <row r="96" customFormat="false" ht="15" hidden="false" customHeight="false" outlineLevel="0" collapsed="false">
      <c r="B96" s="7" t="str">
        <f aca="false">INDEX(Spend!$C$3:$L$3,MATCH(SMALL($E$96:$E$105,1),$E$96:$E$105,0))</f>
        <v>Powder coating</v>
      </c>
      <c r="C96" s="7"/>
      <c r="D96" s="29" t="n">
        <f aca="false">INDEX(Spend!$C$15:$L$15,MATCH(SMALL($E$96:$E$105,1),$E$96:$E$105,0))</f>
        <v>314.2475625</v>
      </c>
      <c r="E96" s="30" t="n">
        <f aca="false">Spend!C$15+ROW()/1000000000</f>
        <v>1255.15389866743</v>
      </c>
      <c r="G96" s="7" t="str">
        <f aca="false">INDEX(Suppliers!$C$2:$C$11,MATCH(SMALL($J$96:$J$105,1),$J$96:$J$105,0))</f>
        <v>Ahmedabad Coatings</v>
      </c>
      <c r="H96" s="7"/>
      <c r="I96" s="29" t="n">
        <f aca="false">INDEX(Spend!$M$5:$M$14,MATCH(SMALL($J$96:$J$105,1),$J$96:$J$105,0))</f>
        <v>314.2475625</v>
      </c>
      <c r="J96" s="30" t="n">
        <f aca="false">Spend!M5+ROW()/1000000000</f>
        <v>1540.77530568424</v>
      </c>
    </row>
    <row r="97" customFormat="false" ht="15" hidden="false" customHeight="false" outlineLevel="0" collapsed="false">
      <c r="B97" s="7" t="str">
        <f aca="false">INDEX(Spend!$C$3:$L$3,MATCH(SMALL($E$96:$E$105,2),$E$96:$E$105,0))</f>
        <v>Nichrome wire</v>
      </c>
      <c r="C97" s="7"/>
      <c r="D97" s="29" t="n">
        <f aca="false">INDEX(Spend!$C$15:$L$15,MATCH(SMALL($E$96:$E$105,2),$E$96:$E$105,0))</f>
        <v>458.434166666667</v>
      </c>
      <c r="E97" s="30" t="n">
        <f aca="false">Spend!D$15+ROW()/1000000000</f>
        <v>1560.28042068524</v>
      </c>
      <c r="G97" s="7" t="str">
        <f aca="false">INDEX(Suppliers!$C$2:$C$11,MATCH(SMALL($J$96:$J$105,2),$J$96:$J$105,0))</f>
        <v>Pacific Plastics (TW)</v>
      </c>
      <c r="H97" s="7"/>
      <c r="I97" s="29" t="n">
        <f aca="false">INDEX(Spend!$M$5:$M$14,MATCH(SMALL($J$96:$J$105,2),$J$96:$J$105,0))</f>
        <v>775.443197938144</v>
      </c>
      <c r="J97" s="30" t="n">
        <f aca="false">Spend!M6+ROW()/1000000000</f>
        <v>1813.18510147331</v>
      </c>
    </row>
    <row r="98" customFormat="false" ht="15" hidden="false" customHeight="false" outlineLevel="0" collapsed="false">
      <c r="B98" s="7" t="str">
        <f aca="false">INDEX(Spend!$C$3:$L$3,MATCH(SMALL($E$96:$E$105,3),$E$96:$E$105,0))</f>
        <v>PP granules</v>
      </c>
      <c r="C98" s="7"/>
      <c r="D98" s="29" t="n">
        <f aca="false">INDEX(Spend!$C$15:$L$15,MATCH(SMALL($E$96:$E$105,3),$E$96:$E$105,0))</f>
        <v>769.403907216495</v>
      </c>
      <c r="E98" s="30" t="n">
        <f aca="false">Spend!E$15+ROW()/1000000000</f>
        <v>2266.49440227191</v>
      </c>
      <c r="G98" s="7" t="str">
        <f aca="false">INDEX(Suppliers!$C$2:$C$11,MATCH(SMALL($J$96:$J$105,3),$J$96:$J$105,0))</f>
        <v>Bhiwandi Packaging</v>
      </c>
      <c r="H98" s="7"/>
      <c r="I98" s="29" t="n">
        <f aca="false">INDEX(Spend!$M$5:$M$14,MATCH(SMALL($J$96:$J$105,3),$J$96:$J$105,0))</f>
        <v>795.325257731959</v>
      </c>
      <c r="J98" s="30" t="n">
        <f aca="false">Spend!M7+ROW()/1000000000</f>
        <v>1453.50329357626</v>
      </c>
    </row>
    <row r="99" customFormat="false" ht="15" hidden="false" customHeight="false" outlineLevel="0" collapsed="false">
      <c r="B99" s="7" t="str">
        <f aca="false">INDEX(Spend!$C$3:$L$3,MATCH(SMALL($E$96:$E$105,4),$E$96:$E$105,0))</f>
        <v>Corrugated cartons</v>
      </c>
      <c r="C99" s="7"/>
      <c r="D99" s="29" t="n">
        <f aca="false">INDEX(Spend!$C$15:$L$15,MATCH(SMALL($E$96:$E$105,4),$E$96:$E$105,0))</f>
        <v>795.325257731959</v>
      </c>
      <c r="E99" s="30" t="n">
        <f aca="false">Spend!F$15+ROW()/1000000000</f>
        <v>6664.66277433369</v>
      </c>
      <c r="G99" s="7" t="str">
        <f aca="false">INDEX(Suppliers!$C$2:$C$11,MATCH(SMALL($J$96:$J$105,4),$J$96:$J$105,0))</f>
        <v>Mumbai Polymer</v>
      </c>
      <c r="H99" s="7"/>
      <c r="I99" s="29" t="n">
        <f aca="false">INDEX(Spend!$M$5:$M$14,MATCH(SMALL($J$96:$J$105,4),$J$96:$J$105,0))</f>
        <v>1066.99947216495</v>
      </c>
      <c r="J99" s="30" t="n">
        <f aca="false">Spend!M8+ROW()/1000000000</f>
        <v>1417.57452213307</v>
      </c>
    </row>
    <row r="100" customFormat="false" ht="15" hidden="false" customHeight="false" outlineLevel="0" collapsed="false">
      <c r="B100" s="7" t="str">
        <f aca="false">INDEX(Spend!$C$3:$L$3,MATCH(SMALL($E$96:$E$105,5),$E$96:$E$105,0))</f>
        <v>SS304 sheet</v>
      </c>
      <c r="C100" s="7"/>
      <c r="D100" s="29" t="n">
        <f aca="false">INDEX(Spend!$C$15:$L$15,MATCH(SMALL($E$96:$E$105,5),$E$96:$E$105,0))</f>
        <v>1000.95082926829</v>
      </c>
      <c r="E100" s="30" t="n">
        <f aca="false">Spend!G$15+ROW()/1000000000</f>
        <v>769.403907316495</v>
      </c>
      <c r="G100" s="7" t="str">
        <f aca="false">INDEX(Suppliers!$C$2:$C$11,MATCH(SMALL($J$96:$J$105,5),$J$96:$J$105,0))</f>
        <v>Bharat Metal Traders</v>
      </c>
      <c r="H100" s="7"/>
      <c r="I100" s="29" t="n">
        <f aca="false">INDEX(Spend!$M$5:$M$14,MATCH(SMALL($J$96:$J$105,5),$J$96:$J$105,0))</f>
        <v>1417.57452203407</v>
      </c>
      <c r="J100" s="30" t="n">
        <f aca="false">Spend!M9+ROW()/1000000000</f>
        <v>5291.39326274881</v>
      </c>
    </row>
    <row r="101" customFormat="false" ht="15" hidden="false" customHeight="false" outlineLevel="0" collapsed="false">
      <c r="B101" s="7" t="str">
        <f aca="false">INDEX(Spend!$C$3:$L$3,MATCH(SMALL($E$96:$E$105,6),$E$96:$E$105,0))</f>
        <v>ABS granules</v>
      </c>
      <c r="C101" s="7"/>
      <c r="D101" s="29" t="n">
        <f aca="false">INDEX(Spend!$C$15:$L$15,MATCH(SMALL($E$96:$E$105,6),$E$96:$E$105,0))</f>
        <v>1073.0387628866</v>
      </c>
      <c r="E101" s="30" t="n">
        <f aca="false">Spend!H$15+ROW()/1000000000</f>
        <v>1073.0387629876</v>
      </c>
      <c r="G101" s="7" t="str">
        <f aca="false">INDEX(Suppliers!$C$2:$C$11,MATCH(SMALL($J$96:$J$105,6),$J$96:$J$105,0))</f>
        <v>Deccan Aluminium</v>
      </c>
      <c r="H101" s="7"/>
      <c r="I101" s="29" t="n">
        <f aca="false">INDEX(Spend!$M$5:$M$14,MATCH(SMALL($J$96:$J$105,6),$J$96:$J$105,0))</f>
        <v>1453.50329347826</v>
      </c>
      <c r="J101" s="30" t="n">
        <f aca="false">Spend!M10+ROW()/1000000000</f>
        <v>1689.54500647855</v>
      </c>
    </row>
    <row r="102" customFormat="false" ht="15" hidden="false" customHeight="false" outlineLevel="0" collapsed="false">
      <c r="B102" s="7" t="str">
        <f aca="false">INDEX(Spend!$C$3:$L$3,MATCH(SMALL($E$96:$E$105,7),$E$96:$E$105,0))</f>
        <v>CRNGO steel coil</v>
      </c>
      <c r="C102" s="7"/>
      <c r="D102" s="29" t="n">
        <f aca="false">INDEX(Spend!$C$15:$L$15,MATCH(SMALL($E$96:$E$105,7),$E$96:$E$105,0))</f>
        <v>1255.15389857143</v>
      </c>
      <c r="E102" s="30" t="n">
        <f aca="false">Spend!I$15+ROW()/1000000000</f>
        <v>1000.95082937029</v>
      </c>
      <c r="G102" s="7" t="str">
        <f aca="false">INDEX(Suppliers!$C$2:$C$11,MATCH(SMALL($J$96:$J$105,7),$J$96:$J$105,0))</f>
        <v>Kalinga Steels</v>
      </c>
      <c r="H102" s="7"/>
      <c r="I102" s="29" t="n">
        <f aca="false">INDEX(Spend!$M$5:$M$14,MATCH(SMALL($J$96:$J$105,7),$J$96:$J$105,0))</f>
        <v>1540.77530558824</v>
      </c>
      <c r="J102" s="30" t="n">
        <f aca="false">Spend!M11+ROW()/1000000000</f>
        <v>1066.99947226695</v>
      </c>
    </row>
    <row r="103" customFormat="false" ht="15" hidden="false" customHeight="false" outlineLevel="0" collapsed="false">
      <c r="B103" s="7" t="str">
        <f aca="false">INDEX(Spend!$C$3:$L$3,MATCH(SMALL($E$96:$E$105,8),$E$96:$E$105,0))</f>
        <v>CRCA steel sheet</v>
      </c>
      <c r="C103" s="7"/>
      <c r="D103" s="29" t="n">
        <f aca="false">INDEX(Spend!$C$15:$L$15,MATCH(SMALL($E$96:$E$105,8),$E$96:$E$105,0))</f>
        <v>1560.28042058824</v>
      </c>
      <c r="E103" s="30" t="n">
        <f aca="false">Spend!J$15+ROW()/1000000000</f>
        <v>458.434166769667</v>
      </c>
      <c r="G103" s="7" t="str">
        <f aca="false">INDEX(Suppliers!$C$2:$C$11,MATCH(SMALL($J$96:$J$105,8),$J$96:$J$105,0))</f>
        <v>Coimbatore Magnet</v>
      </c>
      <c r="H103" s="7"/>
      <c r="I103" s="29" t="n">
        <f aca="false">INDEX(Spend!$M$5:$M$14,MATCH(SMALL($J$96:$J$105,8),$J$96:$J$105,0))</f>
        <v>1689.54500637755</v>
      </c>
      <c r="J103" s="30" t="n">
        <f aca="false">Spend!M12+ROW()/1000000000</f>
        <v>775.443198041144</v>
      </c>
    </row>
    <row r="104" customFormat="false" ht="15" hidden="false" customHeight="false" outlineLevel="0" collapsed="false">
      <c r="B104" s="7" t="str">
        <f aca="false">INDEX(Spend!$C$3:$L$3,MATCH(SMALL($E$96:$E$105,9),$E$96:$E$105,0))</f>
        <v>Aluminium ADC12</v>
      </c>
      <c r="C104" s="7"/>
      <c r="D104" s="29" t="n">
        <f aca="false">INDEX(Spend!$C$15:$L$15,MATCH(SMALL($E$96:$E$105,9),$E$96:$E$105,0))</f>
        <v>2266.49440217391</v>
      </c>
      <c r="E104" s="30" t="n">
        <f aca="false">Spend!K$15+ROW()/1000000000</f>
        <v>314.247562604</v>
      </c>
      <c r="G104" s="7" t="str">
        <f aca="false">INDEX(Suppliers!$C$2:$C$11,MATCH(SMALL($J$96:$J$105,9),$J$96:$J$105,0))</f>
        <v>Pune Coil Proc.</v>
      </c>
      <c r="H104" s="7"/>
      <c r="I104" s="29" t="n">
        <f aca="false">INDEX(Spend!$M$5:$M$14,MATCH(SMALL($J$96:$J$105,9),$J$96:$J$105,0))</f>
        <v>1813.18510137631</v>
      </c>
      <c r="J104" s="30" t="n">
        <f aca="false">Spend!M13+ROW()/1000000000</f>
        <v>314.247562604</v>
      </c>
    </row>
    <row r="105" customFormat="false" ht="15" hidden="false" customHeight="false" outlineLevel="0" collapsed="false">
      <c r="B105" s="7" t="str">
        <f aca="false">INDEX(Spend!$C$3:$L$3,MATCH(SMALL($E$96:$E$105,10),$E$96:$E$105,0))</f>
        <v>Copper winding wire</v>
      </c>
      <c r="C105" s="7"/>
      <c r="D105" s="29" t="n">
        <f aca="false">INDEX(Spend!$C$15:$L$15,MATCH(SMALL($E$96:$E$105,10),$E$96:$E$105,0))</f>
        <v>6664.66277423469</v>
      </c>
      <c r="E105" s="30" t="n">
        <f aca="false">Spend!L$15+ROW()/1000000000</f>
        <v>795.325257836959</v>
      </c>
      <c r="G105" s="7" t="str">
        <f aca="false">INDEX(Suppliers!$C$2:$C$11,MATCH(SMALL($J$96:$J$105,10),$J$96:$J$105,0))</f>
        <v>Vadodara Wires</v>
      </c>
      <c r="H105" s="7"/>
      <c r="I105" s="29" t="n">
        <f aca="false">INDEX(Spend!$M$5:$M$14,MATCH(SMALL($J$96:$J$105,10),$J$96:$J$105,0))</f>
        <v>5291.39326264881</v>
      </c>
      <c r="J105" s="30" t="n">
        <f aca="false">Spend!M14+ROW()/1000000000</f>
        <v>795.325257836959</v>
      </c>
    </row>
    <row r="108" customFormat="false" ht="15" hidden="false" customHeight="false" outlineLevel="0" collapsed="false">
      <c r="B108" s="28" t="s">
        <v>110</v>
      </c>
      <c r="H108" s="28" t="s">
        <v>111</v>
      </c>
    </row>
    <row r="109" customFormat="false" ht="23.85" hidden="false" customHeight="true" outlineLevel="0" collapsed="false">
      <c r="B109" s="8" t="s">
        <v>100</v>
      </c>
      <c r="C109" s="8"/>
      <c r="D109" s="8" t="s">
        <v>112</v>
      </c>
      <c r="E109" s="8" t="s">
        <v>113</v>
      </c>
      <c r="F109" s="8" t="s">
        <v>114</v>
      </c>
      <c r="H109" s="8" t="s">
        <v>115</v>
      </c>
      <c r="I109" s="8"/>
      <c r="J109" s="8" t="str">
        <f aca="false">TEXT(Demand_Plan!E$5,"mmm-yy")</f>
        <v>Nov-26</v>
      </c>
      <c r="K109" s="8" t="str">
        <f aca="false">TEXT(Demand_Plan!F$5,"mmm-yy")</f>
        <v>Dec-26</v>
      </c>
      <c r="L109" s="8" t="str">
        <f aca="false">TEXT(Demand_Plan!G$5,"mmm-yy")</f>
        <v>Jan-27</v>
      </c>
      <c r="M109" s="8" t="str">
        <f aca="false">TEXT(Demand_Plan!H$5,"mmm-yy")</f>
        <v>Feb-27</v>
      </c>
      <c r="N109" s="8" t="str">
        <f aca="false">TEXT(Demand_Plan!I$5,"mmm-yy")</f>
        <v>Mar-27</v>
      </c>
      <c r="O109" s="8" t="str">
        <f aca="false">TEXT(Demand_Plan!J$5,"mmm-yy")</f>
        <v>Apr-27</v>
      </c>
      <c r="P109" s="8" t="str">
        <f aca="false">TEXT(Demand_Plan!K$5,"mmm-yy")</f>
        <v>May-27</v>
      </c>
      <c r="Q109" s="8" t="str">
        <f aca="false">TEXT(Demand_Plan!L$5,"mmm-yy")</f>
        <v>Jun-27</v>
      </c>
      <c r="R109" s="8" t="str">
        <f aca="false">TEXT(Demand_Plan!M$5,"mmm-yy")</f>
        <v>Jul-27</v>
      </c>
      <c r="S109" s="8" t="str">
        <f aca="false">TEXT(Demand_Plan!N$5,"mmm-yy")</f>
        <v>Aug-27</v>
      </c>
      <c r="T109" s="8" t="str">
        <f aca="false">TEXT(Demand_Plan!O$5,"mmm-yy")</f>
        <v>Sep-27</v>
      </c>
      <c r="U109" s="8" t="str">
        <f aca="false">TEXT(Demand_Plan!P$5,"mmm-yy")</f>
        <v>Oct-27</v>
      </c>
    </row>
    <row r="110" customFormat="false" ht="15" hidden="false" customHeight="false" outlineLevel="0" collapsed="false">
      <c r="B110" s="7" t="str">
        <f aca="false">INDEX(WorkCentres!$C$2:$C$10,MATCH(Capacity!$A18,WorkCentres!$A$2:$A$10,0))</f>
        <v>Press shop</v>
      </c>
      <c r="C110" s="7"/>
      <c r="D110" s="31" t="n">
        <f aca="false">Capacity!Q18</f>
        <v>0.710502279838217</v>
      </c>
      <c r="E110" s="31" t="n">
        <f aca="false">Capacity!R18</f>
        <v>0.967387105082418</v>
      </c>
      <c r="F110" s="31" t="n">
        <f aca="false">Assumptions!$B$19</f>
        <v>1</v>
      </c>
      <c r="H110" s="7" t="str">
        <f aca="false">Demand_Plan!$A$44</f>
        <v>Fans &amp; Cooling</v>
      </c>
      <c r="I110" s="7"/>
      <c r="J110" s="29" t="n">
        <f aca="false">Demand_Plan!E44</f>
        <v>936.405</v>
      </c>
      <c r="K110" s="29" t="n">
        <f aca="false">Demand_Plan!F44</f>
        <v>787.66</v>
      </c>
      <c r="L110" s="29" t="n">
        <f aca="false">Demand_Plan!G44</f>
        <v>852.28</v>
      </c>
      <c r="M110" s="29" t="n">
        <f aca="false">Demand_Plan!H44</f>
        <v>1418.31</v>
      </c>
      <c r="N110" s="29" t="n">
        <f aca="false">Demand_Plan!I44</f>
        <v>2484.295</v>
      </c>
      <c r="O110" s="29" t="n">
        <f aca="false">Demand_Plan!J44</f>
        <v>2979.5</v>
      </c>
      <c r="P110" s="29" t="n">
        <f aca="false">Demand_Plan!K44</f>
        <v>2805.34</v>
      </c>
      <c r="Q110" s="29" t="n">
        <f aca="false">Demand_Plan!L44</f>
        <v>2161.185</v>
      </c>
      <c r="R110" s="29" t="n">
        <f aca="false">Demand_Plan!M44</f>
        <v>1447.105</v>
      </c>
      <c r="S110" s="29" t="n">
        <f aca="false">Demand_Plan!N44</f>
        <v>1233.815</v>
      </c>
      <c r="T110" s="29" t="n">
        <f aca="false">Demand_Plan!O44</f>
        <v>1510.52</v>
      </c>
      <c r="U110" s="29" t="n">
        <f aca="false">Demand_Plan!P44</f>
        <v>1478.63</v>
      </c>
    </row>
    <row r="111" customFormat="false" ht="15" hidden="false" customHeight="false" outlineLevel="0" collapsed="false">
      <c r="B111" s="7" t="str">
        <f aca="false">INDEX(WorkCentres!$C$2:$C$10,MATCH(Capacity!$A19,WorkCentres!$A$2:$A$10,0))</f>
        <v>Al die-casting</v>
      </c>
      <c r="C111" s="7"/>
      <c r="D111" s="31" t="n">
        <f aca="false">Capacity!Q19</f>
        <v>0.759108753900421</v>
      </c>
      <c r="E111" s="31" t="n">
        <f aca="false">Capacity!R19</f>
        <v>0.988532763532764</v>
      </c>
      <c r="F111" s="31" t="n">
        <f aca="false">Assumptions!$B$19</f>
        <v>1</v>
      </c>
      <c r="H111" s="7" t="str">
        <f aca="false">Demand_Plan!$A$45</f>
        <v>Kitchen Appliances</v>
      </c>
      <c r="I111" s="7"/>
      <c r="J111" s="29" t="n">
        <f aca="false">Demand_Plan!E45</f>
        <v>1257.85</v>
      </c>
      <c r="K111" s="29" t="n">
        <f aca="false">Demand_Plan!F45</f>
        <v>1089.9875</v>
      </c>
      <c r="L111" s="29" t="n">
        <f aca="false">Demand_Plan!G45</f>
        <v>979.425</v>
      </c>
      <c r="M111" s="29" t="n">
        <f aca="false">Demand_Plan!H45</f>
        <v>984.3125</v>
      </c>
      <c r="N111" s="29" t="n">
        <f aca="false">Demand_Plan!I45</f>
        <v>890.825</v>
      </c>
      <c r="O111" s="29" t="n">
        <f aca="false">Demand_Plan!J45</f>
        <v>793.975</v>
      </c>
      <c r="P111" s="29" t="n">
        <f aca="false">Demand_Plan!K45</f>
        <v>788.375</v>
      </c>
      <c r="Q111" s="29" t="n">
        <f aca="false">Demand_Plan!L45</f>
        <v>806.5</v>
      </c>
      <c r="R111" s="29" t="n">
        <f aca="false">Demand_Plan!M45</f>
        <v>824.05</v>
      </c>
      <c r="S111" s="29" t="n">
        <f aca="false">Demand_Plan!N45</f>
        <v>872.7625</v>
      </c>
      <c r="T111" s="29" t="n">
        <f aca="false">Demand_Plan!O45</f>
        <v>960.1125</v>
      </c>
      <c r="U111" s="29" t="n">
        <f aca="false">Demand_Plan!P45</f>
        <v>1251.7375</v>
      </c>
    </row>
    <row r="112" customFormat="false" ht="15" hidden="false" customHeight="false" outlineLevel="0" collapsed="false">
      <c r="B112" s="7" t="str">
        <f aca="false">INDEX(WorkCentres!$C$2:$C$10,MATCH(Capacity!$A20,WorkCentres!$A$2:$A$10,0))</f>
        <v>Injection moulding</v>
      </c>
      <c r="C112" s="7"/>
      <c r="D112" s="31" t="n">
        <f aca="false">Capacity!Q20</f>
        <v>0.743838057558761</v>
      </c>
      <c r="E112" s="31" t="n">
        <f aca="false">Capacity!R20</f>
        <v>1.01587122729701</v>
      </c>
      <c r="F112" s="31" t="n">
        <f aca="false">Assumptions!$B$19</f>
        <v>1</v>
      </c>
      <c r="H112" s="7" t="str">
        <f aca="false">Demand_Plan!$A$46</f>
        <v>Heating &amp; Water</v>
      </c>
      <c r="I112" s="7"/>
      <c r="J112" s="29" t="n">
        <f aca="false">Demand_Plan!E46</f>
        <v>523.185</v>
      </c>
      <c r="K112" s="29" t="n">
        <f aca="false">Demand_Plan!F46</f>
        <v>584.94</v>
      </c>
      <c r="L112" s="29" t="n">
        <f aca="false">Demand_Plan!G46</f>
        <v>602.885</v>
      </c>
      <c r="M112" s="29" t="n">
        <f aca="false">Demand_Plan!H46</f>
        <v>472.695</v>
      </c>
      <c r="N112" s="29" t="n">
        <f aca="false">Demand_Plan!I46</f>
        <v>371.06</v>
      </c>
      <c r="O112" s="29" t="n">
        <f aca="false">Demand_Plan!J46</f>
        <v>341.365</v>
      </c>
      <c r="P112" s="29" t="n">
        <f aca="false">Demand_Plan!K46</f>
        <v>328.315</v>
      </c>
      <c r="Q112" s="29" t="n">
        <f aca="false">Demand_Plan!L46</f>
        <v>319.705</v>
      </c>
      <c r="R112" s="29" t="n">
        <f aca="false">Demand_Plan!M46</f>
        <v>285.675</v>
      </c>
      <c r="S112" s="29" t="n">
        <f aca="false">Demand_Plan!N46</f>
        <v>274.235</v>
      </c>
      <c r="T112" s="29" t="n">
        <f aca="false">Demand_Plan!O46</f>
        <v>290.61</v>
      </c>
      <c r="U112" s="29" t="n">
        <f aca="false">Demand_Plan!P46</f>
        <v>397.99</v>
      </c>
    </row>
    <row r="113" customFormat="false" ht="15" hidden="false" customHeight="false" outlineLevel="0" collapsed="false">
      <c r="B113" s="7" t="str">
        <f aca="false">INDEX(WorkCentres!$C$2:$C$10,MATCH(Capacity!$A21,WorkCentres!$A$2:$A$10,0))</f>
        <v>Winding &amp; motor</v>
      </c>
      <c r="C113" s="7"/>
      <c r="D113" s="31" t="n">
        <f aca="false">Capacity!Q21</f>
        <v>0.708187053461444</v>
      </c>
      <c r="E113" s="31" t="n">
        <f aca="false">Capacity!R21</f>
        <v>0.906454021926583</v>
      </c>
      <c r="F113" s="31" t="n">
        <f aca="false">Assumptions!$B$19</f>
        <v>1</v>
      </c>
    </row>
    <row r="114" customFormat="false" ht="15" hidden="false" customHeight="false" outlineLevel="0" collapsed="false">
      <c r="B114" s="7" t="str">
        <f aca="false">INDEX(WorkCentres!$C$2:$C$10,MATCH(Capacity!$A22,WorkCentres!$A$2:$A$10,0))</f>
        <v>Powder coating</v>
      </c>
      <c r="C114" s="7"/>
      <c r="D114" s="31" t="n">
        <f aca="false">Capacity!Q22</f>
        <v>0.651090177332165</v>
      </c>
      <c r="E114" s="31" t="n">
        <f aca="false">Capacity!R22</f>
        <v>0.989891518737673</v>
      </c>
      <c r="F114" s="31" t="n">
        <f aca="false">Assumptions!$B$19</f>
        <v>1</v>
      </c>
    </row>
    <row r="115" customFormat="false" ht="15" hidden="false" customHeight="false" outlineLevel="0" collapsed="false">
      <c r="B115" s="7" t="str">
        <f aca="false">INDEX(WorkCentres!$C$2:$C$10,MATCH(Capacity!$A23,WorkCentres!$A$2:$A$10,0))</f>
        <v>FA-1 Fans &amp; coolers</v>
      </c>
      <c r="C115" s="7"/>
      <c r="D115" s="31" t="n">
        <f aca="false">Capacity!Q23</f>
        <v>0.618561891539833</v>
      </c>
      <c r="E115" s="31" t="n">
        <f aca="false">Capacity!R23</f>
        <v>1.0877296722885</v>
      </c>
      <c r="F115" s="31" t="n">
        <f aca="false">Assumptions!$B$19</f>
        <v>1</v>
      </c>
    </row>
    <row r="116" customFormat="false" ht="15" hidden="false" customHeight="false" outlineLevel="0" collapsed="false">
      <c r="B116" s="7" t="str">
        <f aca="false">INDEX(WorkCentres!$C$2:$C$10,MATCH(Capacity!$A24,WorkCentres!$A$2:$A$10,0))</f>
        <v>FA-2 Kitchen</v>
      </c>
      <c r="C116" s="7"/>
      <c r="D116" s="31" t="n">
        <f aca="false">Capacity!Q24</f>
        <v>0.685037236048265</v>
      </c>
      <c r="E116" s="31" t="n">
        <f aca="false">Capacity!R24</f>
        <v>0.895471970839618</v>
      </c>
      <c r="F116" s="31" t="n">
        <f aca="false">Assumptions!$B$19</f>
        <v>1</v>
      </c>
    </row>
    <row r="117" customFormat="false" ht="15" hidden="false" customHeight="false" outlineLevel="0" collapsed="false">
      <c r="B117" s="7" t="str">
        <f aca="false">INDEX(WorkCentres!$C$2:$C$10,MATCH(Capacity!$A25,WorkCentres!$A$2:$A$10,0))</f>
        <v>FA-3 Heating &amp; pumps</v>
      </c>
      <c r="C117" s="7"/>
      <c r="D117" s="31" t="n">
        <f aca="false">Capacity!Q25</f>
        <v>0.640717023989083</v>
      </c>
      <c r="E117" s="31" t="n">
        <f aca="false">Capacity!R25</f>
        <v>1.05530192846369</v>
      </c>
      <c r="F117" s="31" t="n">
        <f aca="false">Assumptions!$B$19</f>
        <v>1</v>
      </c>
    </row>
    <row r="118" customFormat="false" ht="15" hidden="false" customHeight="false" outlineLevel="0" collapsed="false">
      <c r="B118" s="7" t="str">
        <f aca="false">INDEX(WorkCentres!$C$2:$C$10,MATCH(Capacity!$A26,WorkCentres!$A$2:$A$10,0))</f>
        <v>Packing &amp; dispatch</v>
      </c>
      <c r="C118" s="7"/>
      <c r="D118" s="31" t="n">
        <f aca="false">Capacity!Q26</f>
        <v>0.706670445439977</v>
      </c>
      <c r="E118" s="31" t="n">
        <f aca="false">Capacity!R26</f>
        <v>0.913264253108003</v>
      </c>
      <c r="F118" s="31" t="n">
        <f aca="false">Assumptions!$B$19</f>
        <v>1</v>
      </c>
    </row>
    <row r="121" customFormat="false" ht="15" hidden="false" customHeight="false" outlineLevel="0" collapsed="false">
      <c r="B121" s="28" t="s">
        <v>116</v>
      </c>
      <c r="H121" s="28" t="s">
        <v>117</v>
      </c>
    </row>
    <row r="122" customFormat="false" ht="35.05" hidden="false" customHeight="true" outlineLevel="0" collapsed="false">
      <c r="B122" s="8" t="s">
        <v>118</v>
      </c>
      <c r="C122" s="8"/>
      <c r="D122" s="8" t="s">
        <v>119</v>
      </c>
      <c r="H122" s="8" t="s">
        <v>106</v>
      </c>
      <c r="I122" s="8"/>
      <c r="J122" s="8" t="s">
        <v>120</v>
      </c>
      <c r="K122" s="8" t="s">
        <v>121</v>
      </c>
    </row>
    <row r="123" customFormat="false" ht="15" hidden="false" customHeight="false" outlineLevel="0" collapsed="false">
      <c r="B123" s="7" t="str">
        <f aca="false">Products!A2</f>
        <v>P01</v>
      </c>
      <c r="C123" s="7"/>
      <c r="D123" s="32" t="n">
        <f aca="false">Products!Q2</f>
        <v>0.269378948353427</v>
      </c>
      <c r="H123" s="7" t="str">
        <f aca="false">INDEX(RawMaterials!$C$2:$C$11,MATCH(Inventory!$A5,RawMaterials!$A$2:$A$11,0))</f>
        <v>CRNGO steel coil</v>
      </c>
      <c r="I123" s="7"/>
      <c r="J123" s="33" t="n">
        <f aca="false">Inventory!J5</f>
        <v>38.7189404068594</v>
      </c>
      <c r="K123" s="33" t="n">
        <f aca="false">Inventory!K5+Inventory!L5</f>
        <v>23.8</v>
      </c>
    </row>
    <row r="124" customFormat="false" ht="15" hidden="false" customHeight="false" outlineLevel="0" collapsed="false">
      <c r="B124" s="7" t="str">
        <f aca="false">Products!A3</f>
        <v>P02</v>
      </c>
      <c r="C124" s="7"/>
      <c r="D124" s="32" t="n">
        <f aca="false">Products!Q3</f>
        <v>0.350512640723762</v>
      </c>
      <c r="H124" s="7" t="str">
        <f aca="false">INDEX(RawMaterials!$C$2:$C$11,MATCH(Inventory!$A6,RawMaterials!$A$2:$A$11,0))</f>
        <v>CRCA steel sheet</v>
      </c>
      <c r="I124" s="7"/>
      <c r="J124" s="33" t="n">
        <f aca="false">Inventory!J6</f>
        <v>15.9895760248572</v>
      </c>
      <c r="K124" s="33" t="n">
        <f aca="false">Inventory!K6+Inventory!L6</f>
        <v>17.85</v>
      </c>
    </row>
    <row r="125" customFormat="false" ht="15" hidden="false" customHeight="false" outlineLevel="0" collapsed="false">
      <c r="B125" s="7" t="str">
        <f aca="false">Products!A4</f>
        <v>P03</v>
      </c>
      <c r="C125" s="7"/>
      <c r="D125" s="32" t="n">
        <f aca="false">Products!Q4</f>
        <v>0.290765574173366</v>
      </c>
      <c r="H125" s="7" t="str">
        <f aca="false">INDEX(RawMaterials!$C$2:$C$11,MATCH(Inventory!$A7,RawMaterials!$A$2:$A$11,0))</f>
        <v>Aluminium ADC12</v>
      </c>
      <c r="I125" s="7"/>
      <c r="J125" s="33" t="n">
        <f aca="false">Inventory!J7</f>
        <v>15.0025828970332</v>
      </c>
      <c r="K125" s="33" t="n">
        <f aca="false">Inventory!K7+Inventory!L7</f>
        <v>13.9</v>
      </c>
    </row>
    <row r="126" customFormat="false" ht="15" hidden="false" customHeight="false" outlineLevel="0" collapsed="false">
      <c r="B126" s="7" t="str">
        <f aca="false">Products!A5</f>
        <v>P04</v>
      </c>
      <c r="C126" s="7"/>
      <c r="D126" s="32" t="n">
        <f aca="false">Products!Q5</f>
        <v>0.289267277045453</v>
      </c>
      <c r="H126" s="7" t="str">
        <f aca="false">INDEX(RawMaterials!$C$2:$C$11,MATCH(Inventory!$A8,RawMaterials!$A$2:$A$11,0))</f>
        <v>Copper winding wire</v>
      </c>
      <c r="I126" s="7"/>
      <c r="J126" s="33" t="n">
        <f aca="false">Inventory!J8</f>
        <v>23.2615187908124</v>
      </c>
      <c r="K126" s="33" t="n">
        <f aca="false">Inventory!K8+Inventory!L8</f>
        <v>19.5</v>
      </c>
    </row>
    <row r="127" customFormat="false" ht="15" hidden="false" customHeight="false" outlineLevel="0" collapsed="false">
      <c r="B127" s="7" t="str">
        <f aca="false">Products!A6</f>
        <v>P05</v>
      </c>
      <c r="C127" s="7"/>
      <c r="D127" s="32" t="n">
        <f aca="false">Products!Q6</f>
        <v>0.301361423356724</v>
      </c>
      <c r="H127" s="7" t="str">
        <f aca="false">INDEX(RawMaterials!$C$2:$C$11,MATCH(Inventory!$A9,RawMaterials!$A$2:$A$11,0))</f>
        <v>PP granules</v>
      </c>
      <c r="I127" s="7"/>
      <c r="J127" s="33" t="n">
        <f aca="false">Inventory!J9</f>
        <v>41.0058642947103</v>
      </c>
      <c r="K127" s="33" t="n">
        <f aca="false">Inventory!K9+Inventory!L9</f>
        <v>24.4</v>
      </c>
    </row>
    <row r="128" customFormat="false" ht="15" hidden="false" customHeight="false" outlineLevel="0" collapsed="false">
      <c r="B128" s="7" t="str">
        <f aca="false">Products!A7</f>
        <v>P06</v>
      </c>
      <c r="C128" s="7"/>
      <c r="D128" s="32" t="n">
        <f aca="false">Products!Q7</f>
        <v>0.279318599789215</v>
      </c>
      <c r="H128" s="7" t="str">
        <f aca="false">INDEX(RawMaterials!$C$2:$C$11,MATCH(Inventory!$A10,RawMaterials!$A$2:$A$11,0))</f>
        <v>ABS granules</v>
      </c>
      <c r="I128" s="7"/>
      <c r="J128" s="33" t="n">
        <f aca="false">Inventory!J10</f>
        <v>32.9868659064098</v>
      </c>
      <c r="K128" s="33" t="n">
        <f aca="false">Inventory!K10+Inventory!L10</f>
        <v>39.2</v>
      </c>
    </row>
    <row r="129" customFormat="false" ht="15" hidden="false" customHeight="false" outlineLevel="0" collapsed="false">
      <c r="B129" s="7" t="str">
        <f aca="false">Products!A8</f>
        <v>P07</v>
      </c>
      <c r="C129" s="7"/>
      <c r="D129" s="32" t="n">
        <f aca="false">Products!Q8</f>
        <v>0.30909928628104</v>
      </c>
      <c r="H129" s="7" t="str">
        <f aca="false">INDEX(RawMaterials!$C$2:$C$11,MATCH(Inventory!$A11,RawMaterials!$A$2:$A$11,0))</f>
        <v>SS304 sheet</v>
      </c>
      <c r="I129" s="7"/>
      <c r="J129" s="33" t="n">
        <f aca="false">Inventory!J11</f>
        <v>18.9954824853736</v>
      </c>
      <c r="K129" s="33" t="n">
        <f aca="false">Inventory!K11+Inventory!L11</f>
        <v>12.2</v>
      </c>
    </row>
    <row r="130" customFormat="false" ht="15" hidden="false" customHeight="false" outlineLevel="0" collapsed="false">
      <c r="B130" s="7" t="str">
        <f aca="false">Products!A9</f>
        <v>P08</v>
      </c>
      <c r="C130" s="7"/>
      <c r="D130" s="32" t="n">
        <f aca="false">Products!Q9</f>
        <v>0.320406240283464</v>
      </c>
      <c r="H130" s="7" t="str">
        <f aca="false">INDEX(RawMaterials!$C$2:$C$11,MATCH(Inventory!$A12,RawMaterials!$A$2:$A$11,0))</f>
        <v>Nichrome wire</v>
      </c>
      <c r="I130" s="7"/>
      <c r="J130" s="33" t="n">
        <f aca="false">Inventory!J12</f>
        <v>36.0411339028239</v>
      </c>
      <c r="K130" s="33" t="n">
        <f aca="false">Inventory!K12+Inventory!L12</f>
        <v>27.3</v>
      </c>
    </row>
    <row r="131" customFormat="false" ht="15" hidden="false" customHeight="false" outlineLevel="0" collapsed="false">
      <c r="B131" s="7" t="str">
        <f aca="false">Products!A10</f>
        <v>P09</v>
      </c>
      <c r="C131" s="7"/>
      <c r="D131" s="32" t="n">
        <f aca="false">Products!Q10</f>
        <v>0.297418580199241</v>
      </c>
      <c r="H131" s="7" t="str">
        <f aca="false">INDEX(RawMaterials!$C$2:$C$11,MATCH(Inventory!$A13,RawMaterials!$A$2:$A$11,0))</f>
        <v>Powder coating</v>
      </c>
      <c r="I131" s="7"/>
      <c r="J131" s="33" t="n">
        <f aca="false">Inventory!J13</f>
        <v>24.016436369496</v>
      </c>
      <c r="K131" s="33" t="n">
        <f aca="false">Inventory!K13+Inventory!L13</f>
        <v>19</v>
      </c>
    </row>
    <row r="132" customFormat="false" ht="15" hidden="false" customHeight="false" outlineLevel="0" collapsed="false">
      <c r="B132" s="7" t="str">
        <f aca="false">Products!A11</f>
        <v>P10</v>
      </c>
      <c r="C132" s="7"/>
      <c r="D132" s="32" t="n">
        <f aca="false">Products!Q11</f>
        <v>0.300310853691019</v>
      </c>
      <c r="H132" s="7" t="str">
        <f aca="false">INDEX(RawMaterials!$C$2:$C$11,MATCH(Inventory!$A14,RawMaterials!$A$2:$A$11,0))</f>
        <v>Corrugated cartons</v>
      </c>
      <c r="I132" s="7"/>
      <c r="J132" s="33" t="n">
        <f aca="false">Inventory!J14</f>
        <v>21.6870809792844</v>
      </c>
      <c r="K132" s="33" t="n">
        <f aca="false">Inventory!K14+Inventory!L14</f>
        <v>13</v>
      </c>
    </row>
    <row r="133" customFormat="false" ht="15" hidden="false" customHeight="false" outlineLevel="0" collapsed="false">
      <c r="B133" s="7" t="str">
        <f aca="false">Products!A12</f>
        <v>P11</v>
      </c>
      <c r="C133" s="7"/>
      <c r="D133" s="32" t="n">
        <f aca="false">Products!Q12</f>
        <v>0.310222128351091</v>
      </c>
    </row>
    <row r="134" customFormat="false" ht="15" hidden="false" customHeight="false" outlineLevel="0" collapsed="false">
      <c r="B134" s="7" t="str">
        <f aca="false">Products!A13</f>
        <v>P12</v>
      </c>
      <c r="C134" s="7"/>
      <c r="D134" s="32" t="n">
        <f aca="false">Products!Q13</f>
        <v>0.299369614604328</v>
      </c>
    </row>
    <row r="135" customFormat="false" ht="15" hidden="false" customHeight="false" outlineLevel="0" collapsed="false">
      <c r="B135" s="7" t="str">
        <f aca="false">Products!A14</f>
        <v>P13</v>
      </c>
      <c r="C135" s="7"/>
      <c r="D135" s="32" t="n">
        <f aca="false">Products!Q14</f>
        <v>0.276603456433633</v>
      </c>
    </row>
    <row r="136" customFormat="false" ht="15" hidden="false" customHeight="false" outlineLevel="0" collapsed="false">
      <c r="B136" s="7" t="str">
        <f aca="false">Products!A15</f>
        <v>P14</v>
      </c>
      <c r="C136" s="7"/>
      <c r="D136" s="32" t="n">
        <f aca="false">Products!Q15</f>
        <v>0.302444902733111</v>
      </c>
    </row>
    <row r="137" customFormat="false" ht="15" hidden="false" customHeight="false" outlineLevel="0" collapsed="false">
      <c r="B137" s="7" t="str">
        <f aca="false">Products!A16</f>
        <v>P15</v>
      </c>
      <c r="C137" s="7"/>
      <c r="D137" s="32" t="n">
        <f aca="false">Products!Q16</f>
        <v>0.259502912355158</v>
      </c>
    </row>
  </sheetData>
  <mergeCells count="118">
    <mergeCell ref="B4:C4"/>
    <mergeCell ref="D4:E4"/>
    <mergeCell ref="F4:G4"/>
    <mergeCell ref="H4:I4"/>
    <mergeCell ref="J4:K4"/>
    <mergeCell ref="L4:M4"/>
    <mergeCell ref="N4:O4"/>
    <mergeCell ref="B5:C5"/>
    <mergeCell ref="D5:E5"/>
    <mergeCell ref="F5:G5"/>
    <mergeCell ref="H5:I5"/>
    <mergeCell ref="J5:K5"/>
    <mergeCell ref="L5:M5"/>
    <mergeCell ref="N5:O5"/>
    <mergeCell ref="B6:C6"/>
    <mergeCell ref="D6:E6"/>
    <mergeCell ref="F6:G6"/>
    <mergeCell ref="H6:I6"/>
    <mergeCell ref="J6:K6"/>
    <mergeCell ref="L6:M6"/>
    <mergeCell ref="N6:O6"/>
    <mergeCell ref="B8:C8"/>
    <mergeCell ref="D8:E8"/>
    <mergeCell ref="F8:G8"/>
    <mergeCell ref="H8:I8"/>
    <mergeCell ref="J8:K8"/>
    <mergeCell ref="L8:M8"/>
    <mergeCell ref="N8:O8"/>
    <mergeCell ref="B9:C9"/>
    <mergeCell ref="D9:E9"/>
    <mergeCell ref="F9:G9"/>
    <mergeCell ref="H9:I9"/>
    <mergeCell ref="J9:K9"/>
    <mergeCell ref="L9:M9"/>
    <mergeCell ref="N9:O9"/>
    <mergeCell ref="B10:C10"/>
    <mergeCell ref="D10:E10"/>
    <mergeCell ref="F10:G10"/>
    <mergeCell ref="H10:I10"/>
    <mergeCell ref="J10:K10"/>
    <mergeCell ref="L10:M10"/>
    <mergeCell ref="N10:O10"/>
    <mergeCell ref="B13:O13"/>
    <mergeCell ref="B14:O14"/>
    <mergeCell ref="B15:O15"/>
    <mergeCell ref="B18:C18"/>
    <mergeCell ref="B19:C19"/>
    <mergeCell ref="B20:C20"/>
    <mergeCell ref="B21:C21"/>
    <mergeCell ref="B22:C22"/>
    <mergeCell ref="B23:C23"/>
    <mergeCell ref="B24:C24"/>
    <mergeCell ref="B25:C25"/>
    <mergeCell ref="B26:C26"/>
    <mergeCell ref="B27:C27"/>
    <mergeCell ref="B95:C95"/>
    <mergeCell ref="G95:H95"/>
    <mergeCell ref="B96:C96"/>
    <mergeCell ref="G96:H96"/>
    <mergeCell ref="B97:C97"/>
    <mergeCell ref="G97:H97"/>
    <mergeCell ref="B98:C98"/>
    <mergeCell ref="G98:H98"/>
    <mergeCell ref="B99:C99"/>
    <mergeCell ref="G99:H99"/>
    <mergeCell ref="B100:C100"/>
    <mergeCell ref="G100:H100"/>
    <mergeCell ref="B101:C101"/>
    <mergeCell ref="G101:H101"/>
    <mergeCell ref="B102:C102"/>
    <mergeCell ref="G102:H102"/>
    <mergeCell ref="B103:C103"/>
    <mergeCell ref="G103:H103"/>
    <mergeCell ref="B104:C104"/>
    <mergeCell ref="G104:H104"/>
    <mergeCell ref="B105:C105"/>
    <mergeCell ref="G105:H105"/>
    <mergeCell ref="B109:C109"/>
    <mergeCell ref="H109:I109"/>
    <mergeCell ref="B110:C110"/>
    <mergeCell ref="H110:I110"/>
    <mergeCell ref="B111:C111"/>
    <mergeCell ref="H111:I111"/>
    <mergeCell ref="B112:C112"/>
    <mergeCell ref="H112:I112"/>
    <mergeCell ref="B113:C113"/>
    <mergeCell ref="B114:C114"/>
    <mergeCell ref="B115:C115"/>
    <mergeCell ref="B116:C116"/>
    <mergeCell ref="B117:C117"/>
    <mergeCell ref="B118:C118"/>
    <mergeCell ref="B122:C122"/>
    <mergeCell ref="H122:I122"/>
    <mergeCell ref="B123:C123"/>
    <mergeCell ref="H123:I123"/>
    <mergeCell ref="B124:C124"/>
    <mergeCell ref="H124:I124"/>
    <mergeCell ref="B125:C125"/>
    <mergeCell ref="H125:I125"/>
    <mergeCell ref="B126:C126"/>
    <mergeCell ref="H126:I126"/>
    <mergeCell ref="B127:C127"/>
    <mergeCell ref="H127:I127"/>
    <mergeCell ref="B128:C128"/>
    <mergeCell ref="H128:I128"/>
    <mergeCell ref="B129:C129"/>
    <mergeCell ref="H129:I129"/>
    <mergeCell ref="B130:C130"/>
    <mergeCell ref="H130:I130"/>
    <mergeCell ref="B131:C131"/>
    <mergeCell ref="H131:I131"/>
    <mergeCell ref="B132:C132"/>
    <mergeCell ref="H132:I132"/>
    <mergeCell ref="B133:C133"/>
    <mergeCell ref="B134:C134"/>
    <mergeCell ref="B135:C135"/>
    <mergeCell ref="B136:C136"/>
    <mergeCell ref="B137:C137"/>
  </mergeCells>
  <conditionalFormatting sqref="N5">
    <cfRule type="cellIs" priority="2" operator="greaterThan" aboveAverage="0" equalAverage="0" bottom="0" percent="0" rank="0" text="" dxfId="0">
      <formula>0</formula>
    </cfRule>
  </conditionalFormatting>
  <conditionalFormatting sqref="J9">
    <cfRule type="cellIs" priority="3" operator="greaterThan" aboveAverage="0" equalAverage="0" bottom="0" percent="0" rank="0" text="" dxfId="0">
      <formula>0</formula>
    </cfRule>
  </conditionalFormatting>
  <conditionalFormatting sqref="N9">
    <cfRule type="expression" priority="4" aboveAverage="0" equalAverage="0" bottom="0" percent="0" rank="0" text="" dxfId="0">
      <formula>N10="see Checks sheet"</formula>
    </cfRule>
  </conditionalFormatting>
  <conditionalFormatting sqref="D19:O27">
    <cfRule type="cellIs" priority="5" operator="greaterThan" aboveAverage="0" equalAverage="0" bottom="0" percent="0" rank="0" text="" dxfId="1">
      <formula>Assumptions!$B$19</formula>
    </cfRule>
    <cfRule type="cellIs" priority="6" operator="greaterThanOrEqual" aboveAverage="0" equalAverage="0" bottom="0" percent="0" rank="0" text="" dxfId="2">
      <formula>Assumptions!$B$18</formula>
    </cfRule>
    <cfRule type="cellIs" priority="7" operator="lessThan" aboveAverage="0" equalAverage="0" bottom="0" percent="0" rank="0" text="" dxfId="3">
      <formula>0.5</formula>
    </cfRule>
    <cfRule type="cellIs" priority="8" operator="greaterThanOrEqual" aboveAverage="0" equalAverage="0" bottom="0" percent="0" rank="0" text="" dxfId="4">
      <formula>0.5</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B942"/>
    <pageSetUpPr fitToPage="tru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6"/>
    <col collapsed="false" customWidth="true" hidden="false" outlineLevel="0" max="3" min="3" style="0" width="9"/>
    <col collapsed="false" customWidth="true" hidden="false" outlineLevel="0" max="4" min="4" style="0" width="98"/>
  </cols>
  <sheetData>
    <row r="1" customFormat="false" ht="24" hidden="false" customHeight="true" outlineLevel="0" collapsed="false">
      <c r="A1" s="34" t="s">
        <v>122</v>
      </c>
    </row>
    <row r="2" customFormat="false" ht="15" hidden="false" customHeight="false" outlineLevel="0" collapsed="false">
      <c r="A2" s="35" t="s">
        <v>123</v>
      </c>
    </row>
    <row r="4" customFormat="false" ht="24" hidden="false" customHeight="true" outlineLevel="0" collapsed="false">
      <c r="A4" s="8" t="s">
        <v>124</v>
      </c>
      <c r="B4" s="8" t="s">
        <v>125</v>
      </c>
      <c r="C4" s="8" t="s">
        <v>126</v>
      </c>
      <c r="D4" s="8" t="s">
        <v>127</v>
      </c>
    </row>
    <row r="5" customFormat="false" ht="15" hidden="false" customHeight="false" outlineLevel="0" collapsed="false">
      <c r="A5" s="7" t="s">
        <v>128</v>
      </c>
      <c r="B5" s="36" t="s">
        <v>129</v>
      </c>
      <c r="C5" s="10"/>
      <c r="D5" s="37" t="s">
        <v>130</v>
      </c>
    </row>
    <row r="6" customFormat="false" ht="15" hidden="false" customHeight="false" outlineLevel="0" collapsed="false">
      <c r="A6" s="7" t="s">
        <v>131</v>
      </c>
      <c r="B6" s="36" t="s">
        <v>132</v>
      </c>
      <c r="C6" s="10"/>
      <c r="D6" s="37" t="s">
        <v>133</v>
      </c>
    </row>
    <row r="7" customFormat="false" ht="15" hidden="false" customHeight="false" outlineLevel="0" collapsed="false">
      <c r="A7" s="7" t="s">
        <v>134</v>
      </c>
      <c r="B7" s="38" t="n">
        <v>46315</v>
      </c>
      <c r="C7" s="10" t="s">
        <v>135</v>
      </c>
      <c r="D7" s="37" t="s">
        <v>136</v>
      </c>
    </row>
    <row r="8" customFormat="false" ht="15" hidden="false" customHeight="false" outlineLevel="0" collapsed="false">
      <c r="A8" s="7" t="s">
        <v>137</v>
      </c>
      <c r="B8" s="38" t="n">
        <v>46327</v>
      </c>
      <c r="C8" s="10" t="s">
        <v>138</v>
      </c>
      <c r="D8" s="37" t="s">
        <v>139</v>
      </c>
    </row>
    <row r="9" customFormat="false" ht="15" hidden="false" customHeight="false" outlineLevel="0" collapsed="false">
      <c r="A9" s="7" t="s">
        <v>140</v>
      </c>
      <c r="B9" s="39" t="n">
        <v>26</v>
      </c>
      <c r="C9" s="10" t="s">
        <v>141</v>
      </c>
      <c r="D9" s="37" t="s">
        <v>142</v>
      </c>
    </row>
    <row r="10" customFormat="false" ht="15" hidden="false" customHeight="false" outlineLevel="0" collapsed="false">
      <c r="A10" s="7" t="s">
        <v>143</v>
      </c>
      <c r="B10" s="40" t="n">
        <v>1</v>
      </c>
      <c r="C10" s="10" t="s">
        <v>144</v>
      </c>
      <c r="D10" s="37" t="s">
        <v>145</v>
      </c>
    </row>
    <row r="11" customFormat="false" ht="15" hidden="false" customHeight="false" outlineLevel="0" collapsed="false">
      <c r="A11" s="7" t="s">
        <v>146</v>
      </c>
      <c r="B11" s="39" t="n">
        <v>30</v>
      </c>
      <c r="C11" s="10" t="s">
        <v>141</v>
      </c>
      <c r="D11" s="37" t="s">
        <v>147</v>
      </c>
    </row>
    <row r="12" customFormat="false" ht="15" hidden="false" customHeight="false" outlineLevel="0" collapsed="false">
      <c r="A12" s="7" t="s">
        <v>148</v>
      </c>
      <c r="B12" s="41" t="n">
        <v>0.15</v>
      </c>
      <c r="C12" s="10" t="s">
        <v>149</v>
      </c>
      <c r="D12" s="37" t="s">
        <v>150</v>
      </c>
    </row>
    <row r="13" customFormat="false" ht="15" hidden="false" customHeight="false" outlineLevel="0" collapsed="false">
      <c r="A13" s="7" t="s">
        <v>151</v>
      </c>
      <c r="B13" s="41" t="n">
        <v>0.8</v>
      </c>
      <c r="C13" s="10" t="s">
        <v>149</v>
      </c>
      <c r="D13" s="37" t="s">
        <v>152</v>
      </c>
    </row>
    <row r="14" customFormat="false" ht="15" hidden="false" customHeight="false" outlineLevel="0" collapsed="false">
      <c r="A14" s="7" t="s">
        <v>153</v>
      </c>
      <c r="B14" s="41" t="n">
        <v>0.95</v>
      </c>
      <c r="C14" s="10" t="s">
        <v>149</v>
      </c>
      <c r="D14" s="37" t="s">
        <v>154</v>
      </c>
    </row>
    <row r="15" customFormat="false" ht="15" hidden="false" customHeight="false" outlineLevel="0" collapsed="false">
      <c r="A15" s="7" t="s">
        <v>155</v>
      </c>
      <c r="B15" s="41" t="n">
        <v>0.9</v>
      </c>
      <c r="C15" s="10" t="s">
        <v>149</v>
      </c>
      <c r="D15" s="37" t="s">
        <v>156</v>
      </c>
    </row>
    <row r="16" customFormat="false" ht="15" hidden="false" customHeight="false" outlineLevel="0" collapsed="false">
      <c r="A16" s="7" t="s">
        <v>157</v>
      </c>
      <c r="B16" s="39" t="n">
        <v>65</v>
      </c>
      <c r="C16" s="10" t="s">
        <v>158</v>
      </c>
      <c r="D16" s="37" t="s">
        <v>159</v>
      </c>
    </row>
    <row r="17" customFormat="false" ht="15" hidden="false" customHeight="false" outlineLevel="0" collapsed="false">
      <c r="A17" s="7" t="s">
        <v>160</v>
      </c>
      <c r="B17" s="41" t="n">
        <v>0.2</v>
      </c>
      <c r="C17" s="10" t="s">
        <v>149</v>
      </c>
      <c r="D17" s="37" t="s">
        <v>161</v>
      </c>
    </row>
    <row r="18" customFormat="false" ht="15" hidden="false" customHeight="false" outlineLevel="0" collapsed="false">
      <c r="A18" s="7" t="s">
        <v>162</v>
      </c>
      <c r="B18" s="41" t="n">
        <v>0.85</v>
      </c>
      <c r="C18" s="10" t="s">
        <v>149</v>
      </c>
      <c r="D18" s="37" t="s">
        <v>163</v>
      </c>
    </row>
    <row r="19" customFormat="false" ht="15" hidden="false" customHeight="false" outlineLevel="0" collapsed="false">
      <c r="A19" s="7" t="s">
        <v>164</v>
      </c>
      <c r="B19" s="41" t="n">
        <v>1</v>
      </c>
      <c r="C19" s="10" t="s">
        <v>149</v>
      </c>
      <c r="D19" s="37" t="s">
        <v>165</v>
      </c>
    </row>
    <row r="20" customFormat="false" ht="15" hidden="false" customHeight="false" outlineLevel="0" collapsed="false">
      <c r="A20" s="7" t="s">
        <v>166</v>
      </c>
      <c r="B20" s="39" t="n">
        <v>100000</v>
      </c>
      <c r="C20" s="10" t="s">
        <v>167</v>
      </c>
      <c r="D20" s="37" t="s">
        <v>168</v>
      </c>
    </row>
    <row r="21" customFormat="false" ht="15" hidden="false" customHeight="false" outlineLevel="0" collapsed="false">
      <c r="A21" s="7" t="s">
        <v>169</v>
      </c>
      <c r="B21" s="39" t="n">
        <v>10000000</v>
      </c>
      <c r="C21" s="10" t="s">
        <v>167</v>
      </c>
      <c r="D21" s="37" t="s">
        <v>170</v>
      </c>
    </row>
    <row r="23" customFormat="false" ht="15" hidden="false" customHeight="false" outlineLevel="0" collapsed="false">
      <c r="A23" s="27" t="s">
        <v>171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8"/>
    <col collapsed="false" customWidth="true" hidden="false" outlineLevel="0" max="4" min="4" style="0" width="40"/>
    <col collapsed="false" customWidth="true" hidden="false" outlineLevel="0" max="5" min="5" style="0" width="11"/>
    <col collapsed="false" customWidth="true" hidden="false" outlineLevel="0" max="6" min="6" style="0" width="24"/>
    <col collapsed="false" customWidth="true" hidden="false" outlineLevel="0" max="8" min="7" style="0" width="10"/>
    <col collapsed="false" customWidth="true" hidden="false" outlineLevel="0" max="10" min="9" style="0" width="12"/>
    <col collapsed="false" customWidth="true" hidden="false" outlineLevel="0" max="11" min="11" style="0" width="46"/>
    <col collapsed="false" customWidth="true" hidden="false" outlineLevel="0" max="14" min="12" style="0" width="13"/>
    <col collapsed="false" customWidth="true" hidden="false" outlineLevel="0" max="15" min="15" style="0" width="14"/>
    <col collapsed="false" customWidth="true" hidden="false" outlineLevel="0" max="16" min="16" style="0" width="12"/>
    <col collapsed="false" customWidth="true" hidden="false" outlineLevel="0" max="17" min="17" style="0" width="11"/>
    <col collapsed="false" customWidth="true" hidden="false" outlineLevel="0" max="18" min="18" style="0" width="12"/>
    <col collapsed="false" customWidth="true" hidden="false" outlineLevel="0" max="20" min="19" style="0" width="13"/>
    <col collapsed="false" customWidth="true" hidden="false" outlineLevel="0" max="21" min="21" style="0" width="12"/>
  </cols>
  <sheetData>
    <row r="1" customFormat="false" ht="48" hidden="false" customHeight="true" outlineLevel="0" collapsed="false">
      <c r="A1" s="8" t="s">
        <v>172</v>
      </c>
      <c r="B1" s="8" t="s">
        <v>118</v>
      </c>
      <c r="C1" s="8" t="s">
        <v>115</v>
      </c>
      <c r="D1" s="8" t="s">
        <v>173</v>
      </c>
      <c r="E1" s="8" t="s">
        <v>174</v>
      </c>
      <c r="F1" s="8" t="s">
        <v>175</v>
      </c>
      <c r="G1" s="8" t="s">
        <v>176</v>
      </c>
      <c r="H1" s="8" t="s">
        <v>177</v>
      </c>
      <c r="I1" s="8" t="s">
        <v>178</v>
      </c>
      <c r="J1" s="8" t="s">
        <v>179</v>
      </c>
      <c r="K1" s="8" t="s">
        <v>180</v>
      </c>
      <c r="L1" s="8" t="s">
        <v>181</v>
      </c>
      <c r="M1" s="8" t="s">
        <v>182</v>
      </c>
      <c r="N1" s="8" t="s">
        <v>183</v>
      </c>
      <c r="O1" s="8" t="s">
        <v>184</v>
      </c>
      <c r="P1" s="8" t="s">
        <v>185</v>
      </c>
      <c r="Q1" s="8" t="s">
        <v>186</v>
      </c>
      <c r="R1" s="8" t="s">
        <v>187</v>
      </c>
      <c r="S1" s="8" t="s">
        <v>188</v>
      </c>
      <c r="T1" s="8" t="s">
        <v>189</v>
      </c>
      <c r="U1" s="8" t="s">
        <v>190</v>
      </c>
    </row>
    <row r="2" customFormat="false" ht="30" hidden="false" customHeight="true" outlineLevel="0" collapsed="false">
      <c r="A2" s="6" t="s">
        <v>191</v>
      </c>
      <c r="B2" s="7" t="s">
        <v>192</v>
      </c>
      <c r="C2" s="7" t="s">
        <v>193</v>
      </c>
      <c r="D2" s="11" t="s">
        <v>194</v>
      </c>
      <c r="E2" s="42" t="s">
        <v>195</v>
      </c>
      <c r="F2" s="43" t="str">
        <f aca="false">INDEX(WorkCentres!$C$2:$C$10,MATCH(E2,WorkCentres!$A$2:$A$10,0))</f>
        <v>FA-1 Fans &amp; coolers</v>
      </c>
      <c r="G2" s="39" t="n">
        <v>500</v>
      </c>
      <c r="H2" s="39" t="n">
        <v>24</v>
      </c>
      <c r="I2" s="39" t="n">
        <v>38000</v>
      </c>
      <c r="J2" s="39" t="n">
        <v>235</v>
      </c>
      <c r="K2" s="11" t="s">
        <v>196</v>
      </c>
      <c r="L2" s="33" t="n">
        <f aca="false">SUMIFS(BOM!$K$2:$K$400,BOM!$B$2:$B$400,$A2)</f>
        <v>1067.58331380961</v>
      </c>
      <c r="M2" s="44" t="n">
        <f aca="false">INDEX(Routing!$L$25:$L$39,MATCH($A2,Routing!$A$25:$A$39,0))</f>
        <v>165.965</v>
      </c>
      <c r="N2" s="33" t="n">
        <f aca="false">L2+J2+M2</f>
        <v>1468.54831380961</v>
      </c>
      <c r="O2" s="39" t="n">
        <v>2010</v>
      </c>
      <c r="P2" s="33" t="n">
        <f aca="false">O2-N2</f>
        <v>541.451686190388</v>
      </c>
      <c r="Q2" s="32" t="n">
        <f aca="false">IF(O2=0,0,P2/O2)</f>
        <v>0.269378948353427</v>
      </c>
      <c r="R2" s="45" t="n">
        <f aca="false">INDEX(Demand_Plan!$Q$24:$Q$38,MATCH($A2,Demand_Plan!$A$24:$A$38,0))</f>
        <v>458500</v>
      </c>
      <c r="S2" s="33" t="n">
        <f aca="false">R2*O2/Assumptions!$B$20</f>
        <v>9215.85</v>
      </c>
      <c r="T2" s="33" t="n">
        <f aca="false">R2*P2/Assumptions!$B$20</f>
        <v>2482.55598118293</v>
      </c>
      <c r="U2" s="32" t="n">
        <f aca="false">IF(N2=0,0,L2/N2)</f>
        <v>0.72696506050942</v>
      </c>
    </row>
    <row r="3" customFormat="false" ht="30" hidden="false" customHeight="true" outlineLevel="0" collapsed="false">
      <c r="A3" s="6" t="s">
        <v>197</v>
      </c>
      <c r="B3" s="7" t="s">
        <v>198</v>
      </c>
      <c r="C3" s="7" t="s">
        <v>193</v>
      </c>
      <c r="D3" s="11" t="s">
        <v>199</v>
      </c>
      <c r="E3" s="42" t="s">
        <v>195</v>
      </c>
      <c r="F3" s="43" t="str">
        <f aca="false">INDEX(WorkCentres!$C$2:$C$10,MATCH(E3,WorkCentres!$A$2:$A$10,0))</f>
        <v>FA-1 Fans &amp; coolers</v>
      </c>
      <c r="G3" s="39" t="n">
        <v>250</v>
      </c>
      <c r="H3" s="39" t="n">
        <v>36</v>
      </c>
      <c r="I3" s="39" t="n">
        <v>12000</v>
      </c>
      <c r="J3" s="39" t="n">
        <v>650</v>
      </c>
      <c r="K3" s="11" t="s">
        <v>200</v>
      </c>
      <c r="L3" s="33" t="n">
        <f aca="false">SUMIFS(BOM!$K$2:$K$400,BOM!$B$2:$B$400,$A3)</f>
        <v>874.442260525456</v>
      </c>
      <c r="M3" s="44" t="n">
        <f aca="false">INDEX(Routing!$L$25:$L$39,MATCH($A3,Routing!$A$25:$A$39,0))</f>
        <v>157.73</v>
      </c>
      <c r="N3" s="33" t="n">
        <f aca="false">L3+J3+M3</f>
        <v>1682.17226052546</v>
      </c>
      <c r="O3" s="39" t="n">
        <v>2590</v>
      </c>
      <c r="P3" s="33" t="n">
        <f aca="false">O3-N3</f>
        <v>907.827739474544</v>
      </c>
      <c r="Q3" s="32" t="n">
        <f aca="false">IF(O3=0,0,P3/O3)</f>
        <v>0.350512640723762</v>
      </c>
      <c r="R3" s="45" t="n">
        <f aca="false">INDEX(Demand_Plan!$Q$24:$Q$38,MATCH($A3,Demand_Plan!$A$24:$A$38,0))</f>
        <v>145000</v>
      </c>
      <c r="S3" s="33" t="n">
        <f aca="false">R3*O3/Assumptions!$B$20</f>
        <v>3755.5</v>
      </c>
      <c r="T3" s="33" t="n">
        <f aca="false">R3*P3/Assumptions!$B$20</f>
        <v>1316.35022223809</v>
      </c>
      <c r="U3" s="32" t="n">
        <f aca="false">IF(N3=0,0,L3/N3)</f>
        <v>0.519829200044179</v>
      </c>
    </row>
    <row r="4" customFormat="false" ht="30" hidden="false" customHeight="true" outlineLevel="0" collapsed="false">
      <c r="A4" s="6" t="s">
        <v>201</v>
      </c>
      <c r="B4" s="7" t="s">
        <v>202</v>
      </c>
      <c r="C4" s="7" t="s">
        <v>193</v>
      </c>
      <c r="D4" s="11" t="s">
        <v>203</v>
      </c>
      <c r="E4" s="42" t="s">
        <v>195</v>
      </c>
      <c r="F4" s="43" t="str">
        <f aca="false">INDEX(WorkCentres!$C$2:$C$10,MATCH(E4,WorkCentres!$A$2:$A$10,0))</f>
        <v>FA-1 Fans &amp; coolers</v>
      </c>
      <c r="G4" s="39" t="n">
        <v>250</v>
      </c>
      <c r="H4" s="39" t="n">
        <v>24</v>
      </c>
      <c r="I4" s="39" t="n">
        <v>9000</v>
      </c>
      <c r="J4" s="39" t="n">
        <v>310</v>
      </c>
      <c r="K4" s="11" t="s">
        <v>204</v>
      </c>
      <c r="L4" s="33" t="n">
        <f aca="false">SUMIFS(BOM!$K$2:$K$400,BOM!$B$2:$B$400,$A4)</f>
        <v>782.382589454877</v>
      </c>
      <c r="M4" s="44" t="n">
        <f aca="false">INDEX(Routing!$L$25:$L$39,MATCH($A4,Routing!$A$25:$A$39,0))</f>
        <v>155.87</v>
      </c>
      <c r="N4" s="33" t="n">
        <f aca="false">L4+J4+M4</f>
        <v>1248.25258945488</v>
      </c>
      <c r="O4" s="39" t="n">
        <v>1760</v>
      </c>
      <c r="P4" s="33" t="n">
        <f aca="false">O4-N4</f>
        <v>511.747410545123</v>
      </c>
      <c r="Q4" s="32" t="n">
        <f aca="false">IF(O4=0,0,P4/O4)</f>
        <v>0.290765574173366</v>
      </c>
      <c r="R4" s="45" t="n">
        <f aca="false">INDEX(Demand_Plan!$Q$24:$Q$38,MATCH($A4,Demand_Plan!$A$24:$A$38,0))</f>
        <v>109500</v>
      </c>
      <c r="S4" s="33" t="n">
        <f aca="false">R4*O4/Assumptions!$B$20</f>
        <v>1927.2</v>
      </c>
      <c r="T4" s="33" t="n">
        <f aca="false">R4*P4/Assumptions!$B$20</f>
        <v>560.36341454691</v>
      </c>
      <c r="U4" s="32" t="n">
        <f aca="false">IF(N4=0,0,L4/N4)</f>
        <v>0.626782268320028</v>
      </c>
    </row>
    <row r="5" customFormat="false" ht="30" hidden="false" customHeight="true" outlineLevel="0" collapsed="false">
      <c r="A5" s="6" t="s">
        <v>205</v>
      </c>
      <c r="B5" s="7" t="s">
        <v>206</v>
      </c>
      <c r="C5" s="7" t="s">
        <v>193</v>
      </c>
      <c r="D5" s="11" t="s">
        <v>207</v>
      </c>
      <c r="E5" s="42" t="s">
        <v>195</v>
      </c>
      <c r="F5" s="43" t="str">
        <f aca="false">INDEX(WorkCentres!$C$2:$C$10,MATCH(E5,WorkCentres!$A$2:$A$10,0))</f>
        <v>FA-1 Fans &amp; coolers</v>
      </c>
      <c r="G5" s="39" t="n">
        <v>500</v>
      </c>
      <c r="H5" s="39" t="n">
        <v>24</v>
      </c>
      <c r="I5" s="39" t="n">
        <v>14000</v>
      </c>
      <c r="J5" s="39" t="n">
        <v>190</v>
      </c>
      <c r="K5" s="11" t="s">
        <v>204</v>
      </c>
      <c r="L5" s="33" t="n">
        <f aca="false">SUMIFS(BOM!$K$2:$K$400,BOM!$B$2:$B$400,$A5)</f>
        <v>554.980258389775</v>
      </c>
      <c r="M5" s="44" t="n">
        <f aca="false">INDEX(Routing!$L$25:$L$39,MATCH($A5,Routing!$A$25:$A$39,0))</f>
        <v>118.56</v>
      </c>
      <c r="N5" s="33" t="n">
        <f aca="false">L5+J5+M5</f>
        <v>863.540258389775</v>
      </c>
      <c r="O5" s="39" t="n">
        <v>1215</v>
      </c>
      <c r="P5" s="33" t="n">
        <f aca="false">O5-N5</f>
        <v>351.459741610225</v>
      </c>
      <c r="Q5" s="32" t="n">
        <f aca="false">IF(O5=0,0,P5/O5)</f>
        <v>0.289267277045453</v>
      </c>
      <c r="R5" s="45" t="n">
        <f aca="false">INDEX(Demand_Plan!$Q$24:$Q$38,MATCH($A5,Demand_Plan!$A$24:$A$38,0))</f>
        <v>171000</v>
      </c>
      <c r="S5" s="33" t="n">
        <f aca="false">R5*O5/Assumptions!$B$20</f>
        <v>2077.65</v>
      </c>
      <c r="T5" s="33" t="n">
        <f aca="false">R5*P5/Assumptions!$B$20</f>
        <v>600.996158153485</v>
      </c>
      <c r="U5" s="32" t="n">
        <f aca="false">IF(N5=0,0,L5/N5)</f>
        <v>0.642680237542873</v>
      </c>
    </row>
    <row r="6" customFormat="false" ht="30" hidden="false" customHeight="true" outlineLevel="0" collapsed="false">
      <c r="A6" s="6" t="s">
        <v>208</v>
      </c>
      <c r="B6" s="7" t="s">
        <v>209</v>
      </c>
      <c r="C6" s="7" t="s">
        <v>193</v>
      </c>
      <c r="D6" s="11" t="s">
        <v>210</v>
      </c>
      <c r="E6" s="42" t="s">
        <v>195</v>
      </c>
      <c r="F6" s="43" t="str">
        <f aca="false">INDEX(WorkCentres!$C$2:$C$10,MATCH(E6,WorkCentres!$A$2:$A$10,0))</f>
        <v>FA-1 Fans &amp; coolers</v>
      </c>
      <c r="G6" s="39" t="n">
        <v>500</v>
      </c>
      <c r="H6" s="39" t="n">
        <v>24</v>
      </c>
      <c r="I6" s="39" t="n">
        <v>16000</v>
      </c>
      <c r="J6" s="39" t="n">
        <v>95</v>
      </c>
      <c r="K6" s="11" t="s">
        <v>211</v>
      </c>
      <c r="L6" s="33" t="n">
        <f aca="false">SUMIFS(BOM!$K$2:$K$400,BOM!$B$2:$B$400,$A6)</f>
        <v>315.333389416726</v>
      </c>
      <c r="M6" s="44" t="n">
        <f aca="false">INDEX(Routing!$L$25:$L$39,MATCH($A6,Routing!$A$25:$A$39,0))</f>
        <v>85.7</v>
      </c>
      <c r="N6" s="33" t="n">
        <f aca="false">L6+J6+M6</f>
        <v>496.033389416726</v>
      </c>
      <c r="O6" s="39" t="n">
        <v>710</v>
      </c>
      <c r="P6" s="33" t="n">
        <f aca="false">O6-N6</f>
        <v>213.966610583274</v>
      </c>
      <c r="Q6" s="32" t="n">
        <f aca="false">IF(O6=0,0,P6/O6)</f>
        <v>0.301361423356724</v>
      </c>
      <c r="R6" s="45" t="n">
        <f aca="false">INDEX(Demand_Plan!$Q$24:$Q$38,MATCH($A6,Demand_Plan!$A$24:$A$38,0))</f>
        <v>195000</v>
      </c>
      <c r="S6" s="33" t="n">
        <f aca="false">R6*O6/Assumptions!$B$20</f>
        <v>1384.5</v>
      </c>
      <c r="T6" s="33" t="n">
        <f aca="false">R6*P6/Assumptions!$B$20</f>
        <v>417.234890637384</v>
      </c>
      <c r="U6" s="32" t="n">
        <f aca="false">IF(N6=0,0,L6/N6)</f>
        <v>0.635710006916105</v>
      </c>
    </row>
    <row r="7" customFormat="false" ht="30" hidden="false" customHeight="true" outlineLevel="0" collapsed="false">
      <c r="A7" s="6" t="s">
        <v>212</v>
      </c>
      <c r="B7" s="7" t="s">
        <v>213</v>
      </c>
      <c r="C7" s="7" t="s">
        <v>193</v>
      </c>
      <c r="D7" s="11" t="s">
        <v>214</v>
      </c>
      <c r="E7" s="42" t="s">
        <v>195</v>
      </c>
      <c r="F7" s="43" t="str">
        <f aca="false">INDEX(WorkCentres!$C$2:$C$10,MATCH(E7,WorkCentres!$A$2:$A$10,0))</f>
        <v>FA-1 Fans &amp; coolers</v>
      </c>
      <c r="G7" s="39" t="n">
        <v>100</v>
      </c>
      <c r="H7" s="39" t="n">
        <v>24</v>
      </c>
      <c r="I7" s="39" t="n">
        <v>6500</v>
      </c>
      <c r="J7" s="39" t="n">
        <v>480</v>
      </c>
      <c r="K7" s="11" t="s">
        <v>215</v>
      </c>
      <c r="L7" s="33" t="n">
        <f aca="false">SUMIFS(BOM!$K$2:$K$400,BOM!$B$2:$B$400,$A7)</f>
        <v>898.329301466889</v>
      </c>
      <c r="M7" s="44" t="n">
        <f aca="false">INDEX(Routing!$L$25:$L$39,MATCH($A7,Routing!$A$25:$A$39,0))</f>
        <v>217.98</v>
      </c>
      <c r="N7" s="33" t="n">
        <f aca="false">L7+J7+M7</f>
        <v>1596.30930146689</v>
      </c>
      <c r="O7" s="39" t="n">
        <v>2215</v>
      </c>
      <c r="P7" s="33" t="n">
        <f aca="false">O7-N7</f>
        <v>618.690698533111</v>
      </c>
      <c r="Q7" s="32" t="n">
        <f aca="false">IF(O7=0,0,P7/O7)</f>
        <v>0.279318599789215</v>
      </c>
      <c r="R7" s="45" t="n">
        <f aca="false">INDEX(Demand_Plan!$Q$24:$Q$38,MATCH($A7,Demand_Plan!$A$24:$A$38,0))</f>
        <v>78300</v>
      </c>
      <c r="S7" s="33" t="n">
        <f aca="false">R7*O7/Assumptions!$B$20</f>
        <v>1734.345</v>
      </c>
      <c r="T7" s="33" t="n">
        <f aca="false">R7*P7/Assumptions!$B$20</f>
        <v>484.434816951426</v>
      </c>
      <c r="U7" s="32" t="n">
        <f aca="false">IF(N7=0,0,L7/N7)</f>
        <v>0.562753910311361</v>
      </c>
    </row>
    <row r="8" customFormat="false" ht="30" hidden="false" customHeight="true" outlineLevel="0" collapsed="false">
      <c r="A8" s="6" t="s">
        <v>216</v>
      </c>
      <c r="B8" s="7" t="s">
        <v>217</v>
      </c>
      <c r="C8" s="7" t="s">
        <v>218</v>
      </c>
      <c r="D8" s="11" t="s">
        <v>219</v>
      </c>
      <c r="E8" s="42" t="s">
        <v>220</v>
      </c>
      <c r="F8" s="43" t="str">
        <f aca="false">INDEX(WorkCentres!$C$2:$C$10,MATCH(E8,WorkCentres!$A$2:$A$10,0))</f>
        <v>FA-2 Kitchen</v>
      </c>
      <c r="G8" s="39" t="n">
        <v>500</v>
      </c>
      <c r="H8" s="39" t="n">
        <v>24</v>
      </c>
      <c r="I8" s="39" t="n">
        <v>18000</v>
      </c>
      <c r="J8" s="39" t="n">
        <v>165</v>
      </c>
      <c r="K8" s="11" t="s">
        <v>221</v>
      </c>
      <c r="L8" s="33" t="n">
        <f aca="false">SUMIFS(BOM!$K$2:$K$400,BOM!$B$2:$B$400,$A8)</f>
        <v>771.038943166317</v>
      </c>
      <c r="M8" s="44" t="n">
        <f aca="false">INDEX(Routing!$L$25:$L$39,MATCH($A8,Routing!$A$25:$A$39,0))</f>
        <v>138.311666666667</v>
      </c>
      <c r="N8" s="33" t="n">
        <f aca="false">L8+J8+M8</f>
        <v>1074.35060983298</v>
      </c>
      <c r="O8" s="39" t="n">
        <v>1555</v>
      </c>
      <c r="P8" s="33" t="n">
        <f aca="false">O8-N8</f>
        <v>480.649390167017</v>
      </c>
      <c r="Q8" s="32" t="n">
        <f aca="false">IF(O8=0,0,P8/O8)</f>
        <v>0.30909928628104</v>
      </c>
      <c r="R8" s="45" t="n">
        <f aca="false">INDEX(Demand_Plan!$Q$24:$Q$38,MATCH($A8,Demand_Plan!$A$24:$A$38,0))</f>
        <v>218500</v>
      </c>
      <c r="S8" s="33" t="n">
        <f aca="false">R8*O8/Assumptions!$B$20</f>
        <v>3397.675</v>
      </c>
      <c r="T8" s="33" t="n">
        <f aca="false">R8*P8/Assumptions!$B$20</f>
        <v>1050.21891751493</v>
      </c>
      <c r="U8" s="32" t="n">
        <f aca="false">IF(N8=0,0,L8/N8)</f>
        <v>0.717679066879462</v>
      </c>
    </row>
    <row r="9" customFormat="false" ht="30" hidden="false" customHeight="true" outlineLevel="0" collapsed="false">
      <c r="A9" s="6" t="s">
        <v>222</v>
      </c>
      <c r="B9" s="7" t="s">
        <v>223</v>
      </c>
      <c r="C9" s="7" t="s">
        <v>218</v>
      </c>
      <c r="D9" s="11" t="s">
        <v>224</v>
      </c>
      <c r="E9" s="42" t="s">
        <v>220</v>
      </c>
      <c r="F9" s="43" t="str">
        <f aca="false">INDEX(WorkCentres!$C$2:$C$10,MATCH(E9,WorkCentres!$A$2:$A$10,0))</f>
        <v>FA-2 Kitchen</v>
      </c>
      <c r="G9" s="39" t="n">
        <v>250</v>
      </c>
      <c r="H9" s="39" t="n">
        <v>24</v>
      </c>
      <c r="I9" s="39" t="n">
        <v>14000</v>
      </c>
      <c r="J9" s="39" t="n">
        <v>195</v>
      </c>
      <c r="K9" s="11" t="s">
        <v>221</v>
      </c>
      <c r="L9" s="33" t="n">
        <f aca="false">SUMIFS(BOM!$K$2:$K$400,BOM!$B$2:$B$400,$A9)</f>
        <v>1006.85882156499</v>
      </c>
      <c r="M9" s="44" t="n">
        <f aca="false">INDEX(Routing!$L$25:$L$39,MATCH($A9,Routing!$A$25:$A$39,0))</f>
        <v>160.726666666667</v>
      </c>
      <c r="N9" s="33" t="n">
        <f aca="false">L9+J9+M9</f>
        <v>1362.58548823165</v>
      </c>
      <c r="O9" s="39" t="n">
        <v>2005</v>
      </c>
      <c r="P9" s="33" t="n">
        <f aca="false">O9-N9</f>
        <v>642.414511768346</v>
      </c>
      <c r="Q9" s="32" t="n">
        <f aca="false">IF(O9=0,0,P9/O9)</f>
        <v>0.320406240283464</v>
      </c>
      <c r="R9" s="45" t="n">
        <f aca="false">INDEX(Demand_Plan!$Q$24:$Q$38,MATCH($A9,Demand_Plan!$A$24:$A$38,0))</f>
        <v>169250</v>
      </c>
      <c r="S9" s="33" t="n">
        <f aca="false">R9*O9/Assumptions!$B$20</f>
        <v>3393.4625</v>
      </c>
      <c r="T9" s="33" t="n">
        <f aca="false">R9*P9/Assumptions!$B$20</f>
        <v>1087.28656116793</v>
      </c>
      <c r="U9" s="32" t="n">
        <f aca="false">IF(N9=0,0,L9/N9)</f>
        <v>0.738932588275012</v>
      </c>
    </row>
    <row r="10" customFormat="false" ht="30" hidden="false" customHeight="true" outlineLevel="0" collapsed="false">
      <c r="A10" s="6" t="s">
        <v>225</v>
      </c>
      <c r="B10" s="7" t="s">
        <v>226</v>
      </c>
      <c r="C10" s="7" t="s">
        <v>218</v>
      </c>
      <c r="D10" s="11" t="s">
        <v>227</v>
      </c>
      <c r="E10" s="42" t="s">
        <v>220</v>
      </c>
      <c r="F10" s="43" t="str">
        <f aca="false">INDEX(WorkCentres!$C$2:$C$10,MATCH(E10,WorkCentres!$A$2:$A$10,0))</f>
        <v>FA-2 Kitchen</v>
      </c>
      <c r="G10" s="39" t="n">
        <v>500</v>
      </c>
      <c r="H10" s="39" t="n">
        <v>12</v>
      </c>
      <c r="I10" s="39" t="n">
        <v>22000</v>
      </c>
      <c r="J10" s="39" t="n">
        <v>140</v>
      </c>
      <c r="K10" s="11" t="s">
        <v>228</v>
      </c>
      <c r="L10" s="33" t="n">
        <f aca="false">SUMIFS(BOM!$K$2:$K$400,BOM!$B$2:$B$400,$A10)</f>
        <v>197.067261755092</v>
      </c>
      <c r="M10" s="44" t="n">
        <f aca="false">INDEX(Routing!$L$25:$L$39,MATCH($A10,Routing!$A$25:$A$39,0))</f>
        <v>56.3783333333333</v>
      </c>
      <c r="N10" s="33" t="n">
        <f aca="false">L10+J10+M10</f>
        <v>393.445595088425</v>
      </c>
      <c r="O10" s="39" t="n">
        <v>560</v>
      </c>
      <c r="P10" s="33" t="n">
        <f aca="false">O10-N10</f>
        <v>166.554404911575</v>
      </c>
      <c r="Q10" s="32" t="n">
        <f aca="false">IF(O10=0,0,P10/O10)</f>
        <v>0.297418580199241</v>
      </c>
      <c r="R10" s="45" t="n">
        <f aca="false">INDEX(Demand_Plan!$Q$24:$Q$38,MATCH($A10,Demand_Plan!$A$24:$A$38,0))</f>
        <v>266500</v>
      </c>
      <c r="S10" s="33" t="n">
        <f aca="false">R10*O10/Assumptions!$B$20</f>
        <v>1492.4</v>
      </c>
      <c r="T10" s="33" t="n">
        <f aca="false">R10*P10/Assumptions!$B$20</f>
        <v>443.867489089347</v>
      </c>
      <c r="U10" s="32" t="n">
        <f aca="false">IF(N10=0,0,L10/N10)</f>
        <v>0.500875506588914</v>
      </c>
    </row>
    <row r="11" customFormat="false" ht="30" hidden="false" customHeight="true" outlineLevel="0" collapsed="false">
      <c r="A11" s="6" t="s">
        <v>229</v>
      </c>
      <c r="B11" s="7" t="s">
        <v>230</v>
      </c>
      <c r="C11" s="7" t="s">
        <v>218</v>
      </c>
      <c r="D11" s="11" t="s">
        <v>231</v>
      </c>
      <c r="E11" s="42" t="s">
        <v>220</v>
      </c>
      <c r="F11" s="43" t="str">
        <f aca="false">INDEX(WorkCentres!$C$2:$C$10,MATCH(E11,WorkCentres!$A$2:$A$10,0))</f>
        <v>FA-2 Kitchen</v>
      </c>
      <c r="G11" s="39" t="n">
        <v>250</v>
      </c>
      <c r="H11" s="39" t="n">
        <v>12</v>
      </c>
      <c r="I11" s="39" t="n">
        <v>11000</v>
      </c>
      <c r="J11" s="39" t="n">
        <v>780</v>
      </c>
      <c r="K11" s="11" t="s">
        <v>232</v>
      </c>
      <c r="L11" s="33" t="n">
        <f aca="false">SUMIFS(BOM!$K$2:$K$400,BOM!$B$2:$B$400,$A11)</f>
        <v>371.37701762462</v>
      </c>
      <c r="M11" s="44" t="n">
        <f aca="false">INDEX(Routing!$L$25:$L$39,MATCH($A11,Routing!$A$25:$A$39,0))</f>
        <v>104.565</v>
      </c>
      <c r="N11" s="33" t="n">
        <f aca="false">L11+J11+M11</f>
        <v>1255.94201762462</v>
      </c>
      <c r="O11" s="39" t="n">
        <v>1795</v>
      </c>
      <c r="P11" s="33" t="n">
        <f aca="false">O11-N11</f>
        <v>539.057982375379</v>
      </c>
      <c r="Q11" s="32" t="n">
        <f aca="false">IF(O11=0,0,P11/O11)</f>
        <v>0.300310853691019</v>
      </c>
      <c r="R11" s="45" t="n">
        <f aca="false">INDEX(Demand_Plan!$Q$24:$Q$38,MATCH($A11,Demand_Plan!$A$24:$A$38,0))</f>
        <v>133500</v>
      </c>
      <c r="S11" s="33" t="n">
        <f aca="false">R11*O11/Assumptions!$B$20</f>
        <v>2396.325</v>
      </c>
      <c r="T11" s="33" t="n">
        <f aca="false">R11*P11/Assumptions!$B$20</f>
        <v>719.642406471132</v>
      </c>
      <c r="U11" s="32" t="n">
        <f aca="false">IF(N11=0,0,L11/N11)</f>
        <v>0.295695989474905</v>
      </c>
    </row>
    <row r="12" customFormat="false" ht="30" hidden="false" customHeight="true" outlineLevel="0" collapsed="false">
      <c r="A12" s="6" t="s">
        <v>233</v>
      </c>
      <c r="B12" s="7" t="s">
        <v>234</v>
      </c>
      <c r="C12" s="7" t="s">
        <v>218</v>
      </c>
      <c r="D12" s="11" t="s">
        <v>235</v>
      </c>
      <c r="E12" s="42" t="s">
        <v>220</v>
      </c>
      <c r="F12" s="43" t="str">
        <f aca="false">INDEX(WorkCentres!$C$2:$C$10,MATCH(E12,WorkCentres!$A$2:$A$10,0))</f>
        <v>FA-2 Kitchen</v>
      </c>
      <c r="G12" s="39" t="n">
        <v>250</v>
      </c>
      <c r="H12" s="39" t="n">
        <v>12</v>
      </c>
      <c r="I12" s="39" t="n">
        <v>9500</v>
      </c>
      <c r="J12" s="39" t="n">
        <v>90</v>
      </c>
      <c r="K12" s="11" t="s">
        <v>236</v>
      </c>
      <c r="L12" s="33" t="n">
        <f aca="false">SUMIFS(BOM!$K$2:$K$400,BOM!$B$2:$B$400,$A12)</f>
        <v>302.830622204059</v>
      </c>
      <c r="M12" s="44" t="n">
        <f aca="false">INDEX(Routing!$L$25:$L$39,MATCH($A12,Routing!$A$25:$A$39,0))</f>
        <v>96.9116666666667</v>
      </c>
      <c r="N12" s="33" t="n">
        <f aca="false">L12+J12+M12</f>
        <v>489.742288870725</v>
      </c>
      <c r="O12" s="39" t="n">
        <v>710</v>
      </c>
      <c r="P12" s="33" t="n">
        <f aca="false">O12-N12</f>
        <v>220.257711129275</v>
      </c>
      <c r="Q12" s="32" t="n">
        <f aca="false">IF(O12=0,0,P12/O12)</f>
        <v>0.310222128351091</v>
      </c>
      <c r="R12" s="45" t="n">
        <f aca="false">INDEX(Demand_Plan!$Q$24:$Q$38,MATCH($A12,Demand_Plan!$A$24:$A$38,0))</f>
        <v>115500</v>
      </c>
      <c r="S12" s="33" t="n">
        <f aca="false">R12*O12/Assumptions!$B$20</f>
        <v>820.05</v>
      </c>
      <c r="T12" s="33" t="n">
        <f aca="false">R12*P12/Assumptions!$B$20</f>
        <v>254.397656354312</v>
      </c>
      <c r="U12" s="32" t="n">
        <f aca="false">IF(N12=0,0,L12/N12)</f>
        <v>0.618346891999754</v>
      </c>
    </row>
    <row r="13" customFormat="false" ht="30" hidden="false" customHeight="true" outlineLevel="0" collapsed="false">
      <c r="A13" s="6" t="s">
        <v>237</v>
      </c>
      <c r="B13" s="7" t="s">
        <v>238</v>
      </c>
      <c r="C13" s="7" t="s">
        <v>239</v>
      </c>
      <c r="D13" s="11" t="s">
        <v>240</v>
      </c>
      <c r="E13" s="42" t="s">
        <v>241</v>
      </c>
      <c r="F13" s="43" t="str">
        <f aca="false">INDEX(WorkCentres!$C$2:$C$10,MATCH(E13,WorkCentres!$A$2:$A$10,0))</f>
        <v>FA-3 Heating &amp; pumps</v>
      </c>
      <c r="G13" s="39" t="n">
        <v>250</v>
      </c>
      <c r="H13" s="39" t="n">
        <v>12</v>
      </c>
      <c r="I13" s="39" t="n">
        <v>7000</v>
      </c>
      <c r="J13" s="39" t="n">
        <v>215</v>
      </c>
      <c r="K13" s="11" t="s">
        <v>242</v>
      </c>
      <c r="L13" s="33" t="n">
        <f aca="false">SUMIFS(BOM!$K$2:$K$400,BOM!$B$2:$B$400,$A13)</f>
        <v>441.301757268573</v>
      </c>
      <c r="M13" s="44" t="n">
        <f aca="false">INDEX(Routing!$L$25:$L$39,MATCH($A13,Routing!$A$25:$A$39,0))</f>
        <v>114.391666666667</v>
      </c>
      <c r="N13" s="33" t="n">
        <f aca="false">L13+J13+M13</f>
        <v>770.69342393524</v>
      </c>
      <c r="O13" s="39" t="n">
        <v>1100</v>
      </c>
      <c r="P13" s="33" t="n">
        <f aca="false">O13-N13</f>
        <v>329.30657606476</v>
      </c>
      <c r="Q13" s="32" t="n">
        <f aca="false">IF(O13=0,0,P13/O13)</f>
        <v>0.299369614604328</v>
      </c>
      <c r="R13" s="45" t="n">
        <f aca="false">INDEX(Demand_Plan!$Q$24:$Q$38,MATCH($A13,Demand_Plan!$A$24:$A$38,0))</f>
        <v>85250</v>
      </c>
      <c r="S13" s="33" t="n">
        <f aca="false">R13*O13/Assumptions!$B$20</f>
        <v>937.75</v>
      </c>
      <c r="T13" s="33" t="n">
        <f aca="false">R13*P13/Assumptions!$B$20</f>
        <v>280.733856095208</v>
      </c>
      <c r="U13" s="32" t="n">
        <f aca="false">IF(N13=0,0,L13/N13)</f>
        <v>0.572603506872085</v>
      </c>
    </row>
    <row r="14" customFormat="false" ht="30" hidden="false" customHeight="true" outlineLevel="0" collapsed="false">
      <c r="A14" s="6" t="s">
        <v>243</v>
      </c>
      <c r="B14" s="7" t="s">
        <v>244</v>
      </c>
      <c r="C14" s="7" t="s">
        <v>239</v>
      </c>
      <c r="D14" s="11" t="s">
        <v>245</v>
      </c>
      <c r="E14" s="42" t="s">
        <v>241</v>
      </c>
      <c r="F14" s="43" t="str">
        <f aca="false">INDEX(WorkCentres!$C$2:$C$10,MATCH(E14,WorkCentres!$A$2:$A$10,0))</f>
        <v>FA-3 Heating &amp; pumps</v>
      </c>
      <c r="G14" s="39" t="n">
        <v>500</v>
      </c>
      <c r="H14" s="39" t="n">
        <v>12</v>
      </c>
      <c r="I14" s="39" t="n">
        <v>15000</v>
      </c>
      <c r="J14" s="39" t="n">
        <v>90</v>
      </c>
      <c r="K14" s="11" t="s">
        <v>246</v>
      </c>
      <c r="L14" s="33" t="n">
        <f aca="false">SUMIFS(BOM!$K$2:$K$400,BOM!$B$2:$B$400,$A14)</f>
        <v>95.6795951722404</v>
      </c>
      <c r="M14" s="44" t="n">
        <f aca="false">INDEX(Routing!$L$25:$L$39,MATCH($A14,Routing!$A$25:$A$39,0))</f>
        <v>38.5733333333333</v>
      </c>
      <c r="N14" s="33" t="n">
        <f aca="false">L14+J14+M14</f>
        <v>224.252928505574</v>
      </c>
      <c r="O14" s="39" t="n">
        <v>310</v>
      </c>
      <c r="P14" s="33" t="n">
        <f aca="false">O14-N14</f>
        <v>85.7470714944263</v>
      </c>
      <c r="Q14" s="32" t="n">
        <f aca="false">IF(O14=0,0,P14/O14)</f>
        <v>0.276603456433633</v>
      </c>
      <c r="R14" s="45" t="n">
        <f aca="false">INDEX(Demand_Plan!$Q$24:$Q$38,MATCH($A14,Demand_Plan!$A$24:$A$38,0))</f>
        <v>180500</v>
      </c>
      <c r="S14" s="33" t="n">
        <f aca="false">R14*O14/Assumptions!$B$20</f>
        <v>559.55</v>
      </c>
      <c r="T14" s="33" t="n">
        <f aca="false">R14*P14/Assumptions!$B$20</f>
        <v>154.773464047439</v>
      </c>
      <c r="U14" s="32" t="n">
        <f aca="false">IF(N14=0,0,L14/N14)</f>
        <v>0.42665928962378</v>
      </c>
    </row>
    <row r="15" customFormat="false" ht="30" hidden="false" customHeight="true" outlineLevel="0" collapsed="false">
      <c r="A15" s="6" t="s">
        <v>247</v>
      </c>
      <c r="B15" s="7" t="s">
        <v>248</v>
      </c>
      <c r="C15" s="7" t="s">
        <v>239</v>
      </c>
      <c r="D15" s="11" t="s">
        <v>249</v>
      </c>
      <c r="E15" s="42" t="s">
        <v>241</v>
      </c>
      <c r="F15" s="43" t="str">
        <f aca="false">INDEX(WorkCentres!$C$2:$C$10,MATCH(E15,WorkCentres!$A$2:$A$10,0))</f>
        <v>FA-3 Heating &amp; pumps</v>
      </c>
      <c r="G15" s="39" t="n">
        <v>500</v>
      </c>
      <c r="H15" s="39" t="n">
        <v>24</v>
      </c>
      <c r="I15" s="39" t="n">
        <v>20000</v>
      </c>
      <c r="J15" s="39" t="n">
        <v>100</v>
      </c>
      <c r="K15" s="11" t="s">
        <v>250</v>
      </c>
      <c r="L15" s="33" t="n">
        <f aca="false">SUMIFS(BOM!$K$2:$K$400,BOM!$B$2:$B$400,$A15)</f>
        <v>213.711963289126</v>
      </c>
      <c r="M15" s="44" t="n">
        <f aca="false">INDEX(Routing!$L$25:$L$39,MATCH($A15,Routing!$A$25:$A$39,0))</f>
        <v>80.4066666666667</v>
      </c>
      <c r="N15" s="33" t="n">
        <f aca="false">L15+J15+M15</f>
        <v>394.118629955792</v>
      </c>
      <c r="O15" s="39" t="n">
        <v>565</v>
      </c>
      <c r="P15" s="33" t="n">
        <f aca="false">O15-N15</f>
        <v>170.881370044208</v>
      </c>
      <c r="Q15" s="32" t="n">
        <f aca="false">IF(O15=0,0,P15/O15)</f>
        <v>0.302444902733111</v>
      </c>
      <c r="R15" s="45" t="n">
        <f aca="false">INDEX(Demand_Plan!$Q$24:$Q$38,MATCH($A15,Demand_Plan!$A$24:$A$38,0))</f>
        <v>240000</v>
      </c>
      <c r="S15" s="33" t="n">
        <f aca="false">R15*O15/Assumptions!$B$20</f>
        <v>1356</v>
      </c>
      <c r="T15" s="33" t="n">
        <f aca="false">R15*P15/Assumptions!$B$20</f>
        <v>410.115288106099</v>
      </c>
      <c r="U15" s="32" t="n">
        <f aca="false">IF(N15=0,0,L15/N15)</f>
        <v>0.542252882877162</v>
      </c>
    </row>
    <row r="16" customFormat="false" ht="30" hidden="false" customHeight="true" outlineLevel="0" collapsed="false">
      <c r="A16" s="6" t="s">
        <v>251</v>
      </c>
      <c r="B16" s="7" t="s">
        <v>252</v>
      </c>
      <c r="C16" s="7" t="s">
        <v>239</v>
      </c>
      <c r="D16" s="11" t="s">
        <v>253</v>
      </c>
      <c r="E16" s="42" t="s">
        <v>241</v>
      </c>
      <c r="F16" s="43" t="str">
        <f aca="false">INDEX(WorkCentres!$C$2:$C$10,MATCH(E16,WorkCentres!$A$2:$A$10,0))</f>
        <v>FA-3 Heating &amp; pumps</v>
      </c>
      <c r="G16" s="39" t="n">
        <v>100</v>
      </c>
      <c r="H16" s="39" t="n">
        <v>24</v>
      </c>
      <c r="I16" s="39" t="n">
        <v>4500</v>
      </c>
      <c r="J16" s="39" t="n">
        <v>450</v>
      </c>
      <c r="K16" s="11" t="s">
        <v>254</v>
      </c>
      <c r="L16" s="33" t="n">
        <f aca="false">SUMIFS(BOM!$K$2:$K$400,BOM!$B$2:$B$400,$A16)</f>
        <v>1929.7304507872</v>
      </c>
      <c r="M16" s="44" t="n">
        <f aca="false">INDEX(Routing!$L$25:$L$39,MATCH($A16,Routing!$A$25:$A$39,0))</f>
        <v>260.141666666667</v>
      </c>
      <c r="N16" s="33" t="n">
        <f aca="false">L16+J16+M16</f>
        <v>2639.87211745386</v>
      </c>
      <c r="O16" s="39" t="n">
        <v>3565</v>
      </c>
      <c r="P16" s="33" t="n">
        <f aca="false">O16-N16</f>
        <v>925.127882546138</v>
      </c>
      <c r="Q16" s="32" t="n">
        <f aca="false">IF(O16=0,0,P16/O16)</f>
        <v>0.259502912355158</v>
      </c>
      <c r="R16" s="45" t="n">
        <f aca="false">INDEX(Demand_Plan!$Q$24:$Q$38,MATCH($A16,Demand_Plan!$A$24:$A$38,0))</f>
        <v>54400</v>
      </c>
      <c r="S16" s="33" t="n">
        <f aca="false">R16*O16/Assumptions!$B$20</f>
        <v>1939.36</v>
      </c>
      <c r="T16" s="33" t="n">
        <f aca="false">R16*P16/Assumptions!$B$20</f>
        <v>503.269568105099</v>
      </c>
      <c r="U16" s="32" t="n">
        <f aca="false">IF(N16=0,0,L16/N16)</f>
        <v>0.730993913693216</v>
      </c>
    </row>
    <row r="18" customFormat="false" ht="15" hidden="false" customHeight="false" outlineLevel="0" collapsed="false">
      <c r="A18" s="46" t="s">
        <v>255</v>
      </c>
      <c r="B18" s="47"/>
      <c r="C18" s="47"/>
      <c r="D18" s="47"/>
      <c r="E18" s="47"/>
      <c r="F18" s="47"/>
      <c r="G18" s="47"/>
      <c r="H18" s="47"/>
      <c r="I18" s="47"/>
      <c r="J18" s="47"/>
      <c r="K18" s="47"/>
      <c r="L18" s="47"/>
      <c r="M18" s="47"/>
      <c r="N18" s="47"/>
      <c r="O18" s="47"/>
      <c r="P18" s="47"/>
      <c r="Q18" s="48" t="n">
        <f aca="false">IF(S18=0,0,T18/S18)</f>
        <v>0.295876493993093</v>
      </c>
      <c r="R18" s="49" t="n">
        <f aca="false">SUM(R2:R16)</f>
        <v>2620700</v>
      </c>
      <c r="S18" s="50" t="n">
        <f aca="false">SUM(S2:S16)</f>
        <v>36387.6175</v>
      </c>
      <c r="T18" s="50" t="n">
        <f aca="false">SUM(T2:T16)</f>
        <v>10766.2406906617</v>
      </c>
      <c r="U18" s="48" t="n">
        <f aca="false">IF(SUMPRODUCT(R2:R16,N2:N16)=0,0,SUMPRODUCT(R2:R16,L2:L16)/SUMPRODUCT(R2:R16,N2:N16))</f>
        <v>0.630644953316839</v>
      </c>
    </row>
    <row r="20" customFormat="false" ht="15" hidden="false" customHeight="false" outlineLevel="0" collapsed="false">
      <c r="A20" s="27" t="s">
        <v>256</v>
      </c>
    </row>
    <row r="21" customFormat="false" ht="15" hidden="false" customHeight="false" outlineLevel="0" collapsed="false">
      <c r="A21" s="27" t="s">
        <v>257</v>
      </c>
    </row>
  </sheetData>
  <autoFilter ref="A1:U16"/>
  <dataValidations count="1">
    <dataValidation allowBlank="true" error="Pick a value from the list" errorStyle="stop" operator="between" showDropDown="false" showErrorMessage="false" showInputMessage="false" sqref="E2:E16" type="list">
      <formula1>"WC06,WC07,WC08"</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T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20"/>
    <col collapsed="false" customWidth="true" hidden="false" outlineLevel="0" max="4" min="4" style="0" width="44"/>
    <col collapsed="false" customWidth="true" hidden="false" outlineLevel="0" max="5" min="5" style="0" width="20"/>
    <col collapsed="false" customWidth="true" hidden="false" outlineLevel="0" max="6" min="6" style="0" width="6"/>
    <col collapsed="false" customWidth="true" hidden="false" outlineLevel="0" max="7" min="7" style="0" width="14"/>
    <col collapsed="false" customWidth="true" hidden="false" outlineLevel="0" max="8" min="8" style="0" width="13"/>
    <col collapsed="false" customWidth="true" hidden="false" outlineLevel="0" max="11" min="9" style="0" width="12"/>
    <col collapsed="false" customWidth="true" hidden="false" outlineLevel="0" max="12" min="12" style="0" width="15"/>
    <col collapsed="false" customWidth="true" hidden="false" outlineLevel="0" max="13" min="13" style="0" width="12"/>
    <col collapsed="false" customWidth="true" hidden="false" outlineLevel="0" max="14" min="14" style="0" width="11"/>
    <col collapsed="false" customWidth="true" hidden="false" outlineLevel="0" max="15" min="15" style="0" width="34"/>
    <col collapsed="false" customWidth="true" hidden="false" outlineLevel="0" max="16" min="16" style="0" width="60"/>
    <col collapsed="false" customWidth="true" hidden="false" outlineLevel="0" max="18" min="17" style="0" width="9"/>
    <col collapsed="false" customWidth="true" hidden="false" outlineLevel="0" max="19" min="19" style="0" width="11"/>
    <col collapsed="false" customWidth="true" hidden="false" outlineLevel="0" max="20" min="20" style="0" width="14"/>
  </cols>
  <sheetData>
    <row r="1" customFormat="false" ht="60" hidden="false" customHeight="true" outlineLevel="0" collapsed="false">
      <c r="A1" s="8" t="s">
        <v>258</v>
      </c>
      <c r="B1" s="8" t="s">
        <v>259</v>
      </c>
      <c r="C1" s="8" t="s">
        <v>260</v>
      </c>
      <c r="D1" s="8" t="s">
        <v>173</v>
      </c>
      <c r="E1" s="8" t="s">
        <v>261</v>
      </c>
      <c r="F1" s="8" t="s">
        <v>262</v>
      </c>
      <c r="G1" s="8" t="s">
        <v>263</v>
      </c>
      <c r="H1" s="8" t="s">
        <v>264</v>
      </c>
      <c r="I1" s="8" t="s">
        <v>265</v>
      </c>
      <c r="J1" s="8" t="s">
        <v>266</v>
      </c>
      <c r="K1" s="8" t="s">
        <v>267</v>
      </c>
      <c r="L1" s="8" t="s">
        <v>268</v>
      </c>
      <c r="M1" s="8" t="s">
        <v>269</v>
      </c>
      <c r="N1" s="8" t="s">
        <v>270</v>
      </c>
      <c r="O1" s="8" t="s">
        <v>271</v>
      </c>
      <c r="P1" s="8" t="s">
        <v>272</v>
      </c>
      <c r="Q1" s="8" t="s">
        <v>273</v>
      </c>
      <c r="R1" s="8" t="s">
        <v>274</v>
      </c>
      <c r="S1" s="8" t="s">
        <v>275</v>
      </c>
      <c r="T1" s="8" t="s">
        <v>276</v>
      </c>
    </row>
    <row r="2" customFormat="false" ht="42" hidden="false" customHeight="true" outlineLevel="0" collapsed="false">
      <c r="A2" s="6" t="s">
        <v>277</v>
      </c>
      <c r="B2" s="7" t="s">
        <v>278</v>
      </c>
      <c r="C2" s="7" t="s">
        <v>279</v>
      </c>
      <c r="D2" s="11" t="s">
        <v>280</v>
      </c>
      <c r="E2" s="7" t="s">
        <v>281</v>
      </c>
      <c r="F2" s="10" t="s">
        <v>282</v>
      </c>
      <c r="G2" s="33" t="n">
        <f aca="false">SUMPRODUCT((Sourcing!$B$2:$B$60=$A2)*Sourcing!$G$2:$G$60*Sourcing!$I$2:$I$60)</f>
        <v>93.4</v>
      </c>
      <c r="H2" s="51" t="n">
        <v>0</v>
      </c>
      <c r="I2" s="52" t="n">
        <v>0.7</v>
      </c>
      <c r="J2" s="33" t="n">
        <f aca="false">SUMPRODUCT((Sourcing!$B$2:$B$60=$A2)*Sourcing!$G$2:$G$60*Sourcing!$J$2:$J$60)</f>
        <v>16.8</v>
      </c>
      <c r="K2" s="29" t="n">
        <f aca="false">SUMPRODUCT(MAX((Sourcing!$B$2:$B$60=$A2)*Sourcing!$J$2:$J$60))</f>
        <v>21</v>
      </c>
      <c r="L2" s="29" t="n">
        <f aca="false">SUMIFS(Sourcing!$K$2:$K$60,Sourcing!$B$2:$B$60,$A2,Sourcing!$F$2:$F$60,"Primary")+SUMIFS(Sourcing!$K$2:$K$60,Sourcing!$B$2:$B$60,$A2,Sourcing!$F$2:$F$60,"Sole source")</f>
        <v>10000</v>
      </c>
      <c r="M2" s="39" t="n">
        <v>7</v>
      </c>
      <c r="N2" s="42" t="s">
        <v>283</v>
      </c>
      <c r="O2" s="11" t="s">
        <v>284</v>
      </c>
      <c r="P2" s="11" t="s">
        <v>285</v>
      </c>
      <c r="Q2" s="53" t="n">
        <f aca="false">COUNTIF(Sourcing!$B$2:$B$60,$A2)</f>
        <v>2</v>
      </c>
      <c r="R2" s="10" t="str">
        <f aca="false">IF(Q2=1,"Yes","No")</f>
        <v>No</v>
      </c>
      <c r="S2" s="31" t="n">
        <f aca="false">SUMPRODUCT((Sourcing!$B$2:$B$60=$A2)*(Sourcing!$M$2:$M$60&lt;&gt;"India")*Sourcing!$G$2:$G$60)</f>
        <v>0</v>
      </c>
      <c r="T2" s="32" t="n">
        <f aca="false">SUMIF(Sourcing!$B$2:$B$60,$A2,Sourcing!$G$2:$G$60)</f>
        <v>1</v>
      </c>
    </row>
    <row r="3" customFormat="false" ht="42" hidden="false" customHeight="true" outlineLevel="0" collapsed="false">
      <c r="A3" s="6" t="s">
        <v>286</v>
      </c>
      <c r="B3" s="7" t="s">
        <v>287</v>
      </c>
      <c r="C3" s="7" t="s">
        <v>288</v>
      </c>
      <c r="D3" s="11" t="s">
        <v>289</v>
      </c>
      <c r="E3" s="7" t="s">
        <v>281</v>
      </c>
      <c r="F3" s="10" t="s">
        <v>282</v>
      </c>
      <c r="G3" s="33" t="n">
        <f aca="false">SUMPRODUCT((Sourcing!$B$2:$B$60=$A3)*Sourcing!$G$2:$G$60*Sourcing!$I$2:$I$60)</f>
        <v>66.65</v>
      </c>
      <c r="H3" s="51" t="n">
        <v>0</v>
      </c>
      <c r="I3" s="52" t="n">
        <v>0.85</v>
      </c>
      <c r="J3" s="33" t="n">
        <f aca="false">SUMPRODUCT((Sourcing!$B$2:$B$60=$A3)*Sourcing!$G$2:$G$60*Sourcing!$J$2:$J$60)</f>
        <v>10.85</v>
      </c>
      <c r="K3" s="29" t="n">
        <f aca="false">SUMPRODUCT(MAX((Sourcing!$B$2:$B$60=$A3)*Sourcing!$J$2:$J$60))</f>
        <v>18</v>
      </c>
      <c r="L3" s="29" t="n">
        <f aca="false">SUMIFS(Sourcing!$K$2:$K$60,Sourcing!$B$2:$B$60,$A3,Sourcing!$F$2:$F$60,"Primary")+SUMIFS(Sourcing!$K$2:$K$60,Sourcing!$B$2:$B$60,$A3,Sourcing!$F$2:$F$60,"Sole source")</f>
        <v>3000</v>
      </c>
      <c r="M3" s="39" t="n">
        <v>7</v>
      </c>
      <c r="N3" s="42" t="s">
        <v>283</v>
      </c>
      <c r="O3" s="11" t="s">
        <v>290</v>
      </c>
      <c r="P3" s="11" t="s">
        <v>291</v>
      </c>
      <c r="Q3" s="53" t="n">
        <f aca="false">COUNTIF(Sourcing!$B$2:$B$60,$A3)</f>
        <v>2</v>
      </c>
      <c r="R3" s="10" t="str">
        <f aca="false">IF(Q3=1,"Yes","No")</f>
        <v>No</v>
      </c>
      <c r="S3" s="31" t="n">
        <f aca="false">SUMPRODUCT((Sourcing!$B$2:$B$60=$A3)*(Sourcing!$M$2:$M$60&lt;&gt;"India")*Sourcing!$G$2:$G$60)</f>
        <v>0</v>
      </c>
      <c r="T3" s="32" t="n">
        <f aca="false">SUMIF(Sourcing!$B$2:$B$60,$A3,Sourcing!$G$2:$G$60)</f>
        <v>1</v>
      </c>
    </row>
    <row r="4" customFormat="false" ht="42" hidden="false" customHeight="true" outlineLevel="0" collapsed="false">
      <c r="A4" s="6" t="s">
        <v>292</v>
      </c>
      <c r="B4" s="7" t="s">
        <v>293</v>
      </c>
      <c r="C4" s="7" t="s">
        <v>294</v>
      </c>
      <c r="D4" s="11" t="s">
        <v>295</v>
      </c>
      <c r="E4" s="7" t="s">
        <v>296</v>
      </c>
      <c r="F4" s="10" t="s">
        <v>282</v>
      </c>
      <c r="G4" s="33" t="n">
        <f aca="false">SUMPRODUCT((Sourcing!$B$2:$B$60=$A4)*Sourcing!$G$2:$G$60*Sourcing!$I$2:$I$60)</f>
        <v>261.5</v>
      </c>
      <c r="H4" s="51" t="n">
        <v>0</v>
      </c>
      <c r="I4" s="52" t="n">
        <v>0.92</v>
      </c>
      <c r="J4" s="33" t="n">
        <f aca="false">SUMPRODUCT((Sourcing!$B$2:$B$60=$A4)*Sourcing!$G$2:$G$60*Sourcing!$J$2:$J$60)</f>
        <v>7.9</v>
      </c>
      <c r="K4" s="29" t="n">
        <f aca="false">SUMPRODUCT(MAX((Sourcing!$B$2:$B$60=$A4)*Sourcing!$J$2:$J$60))</f>
        <v>10</v>
      </c>
      <c r="L4" s="29" t="n">
        <f aca="false">SUMIFS(Sourcing!$K$2:$K$60,Sourcing!$B$2:$B$60,$A4,Sourcing!$F$2:$F$60,"Primary")+SUMIFS(Sourcing!$K$2:$K$60,Sourcing!$B$2:$B$60,$A4,Sourcing!$F$2:$F$60,"Sole source")</f>
        <v>5000</v>
      </c>
      <c r="M4" s="39" t="n">
        <v>6</v>
      </c>
      <c r="N4" s="42" t="s">
        <v>297</v>
      </c>
      <c r="O4" s="11" t="s">
        <v>298</v>
      </c>
      <c r="P4" s="11" t="s">
        <v>299</v>
      </c>
      <c r="Q4" s="53" t="n">
        <f aca="false">COUNTIF(Sourcing!$B$2:$B$60,$A4)</f>
        <v>2</v>
      </c>
      <c r="R4" s="10" t="str">
        <f aca="false">IF(Q4=1,"Yes","No")</f>
        <v>No</v>
      </c>
      <c r="S4" s="31" t="n">
        <f aca="false">SUMPRODUCT((Sourcing!$B$2:$B$60=$A4)*(Sourcing!$M$2:$M$60&lt;&gt;"India")*Sourcing!$G$2:$G$60)</f>
        <v>0</v>
      </c>
      <c r="T4" s="32" t="n">
        <f aca="false">SUMIF(Sourcing!$B$2:$B$60,$A4,Sourcing!$G$2:$G$60)</f>
        <v>1</v>
      </c>
    </row>
    <row r="5" customFormat="false" ht="42" hidden="false" customHeight="true" outlineLevel="0" collapsed="false">
      <c r="A5" s="6" t="s">
        <v>300</v>
      </c>
      <c r="B5" s="7" t="s">
        <v>301</v>
      </c>
      <c r="C5" s="7" t="s">
        <v>302</v>
      </c>
      <c r="D5" s="11" t="s">
        <v>303</v>
      </c>
      <c r="E5" s="7" t="s">
        <v>296</v>
      </c>
      <c r="F5" s="10" t="s">
        <v>282</v>
      </c>
      <c r="G5" s="33" t="n">
        <f aca="false">SUMPRODUCT((Sourcing!$B$2:$B$60=$A5)*Sourcing!$G$2:$G$60*Sourcing!$I$2:$I$60)</f>
        <v>1336.25</v>
      </c>
      <c r="H5" s="51" t="n">
        <v>0</v>
      </c>
      <c r="I5" s="52" t="n">
        <v>0.98</v>
      </c>
      <c r="J5" s="33" t="n">
        <f aca="false">SUMPRODUCT((Sourcing!$B$2:$B$60=$A5)*Sourcing!$G$2:$G$60*Sourcing!$J$2:$J$60)</f>
        <v>12.5</v>
      </c>
      <c r="K5" s="29" t="n">
        <f aca="false">SUMPRODUCT(MAX((Sourcing!$B$2:$B$60=$A5)*Sourcing!$J$2:$J$60))</f>
        <v>14</v>
      </c>
      <c r="L5" s="29" t="n">
        <f aca="false">SUMIFS(Sourcing!$K$2:$K$60,Sourcing!$B$2:$B$60,$A5,Sourcing!$F$2:$F$60,"Primary")+SUMIFS(Sourcing!$K$2:$K$60,Sourcing!$B$2:$B$60,$A5,Sourcing!$F$2:$F$60,"Sole source")</f>
        <v>1000</v>
      </c>
      <c r="M5" s="39" t="n">
        <v>7</v>
      </c>
      <c r="N5" s="42" t="s">
        <v>297</v>
      </c>
      <c r="O5" s="11" t="s">
        <v>304</v>
      </c>
      <c r="P5" s="11" t="s">
        <v>305</v>
      </c>
      <c r="Q5" s="53" t="n">
        <f aca="false">COUNTIF(Sourcing!$B$2:$B$60,$A5)</f>
        <v>2</v>
      </c>
      <c r="R5" s="10" t="str">
        <f aca="false">IF(Q5=1,"Yes","No")</f>
        <v>No</v>
      </c>
      <c r="S5" s="31" t="n">
        <f aca="false">SUMPRODUCT((Sourcing!$B$2:$B$60=$A5)*(Sourcing!$M$2:$M$60&lt;&gt;"India")*Sourcing!$G$2:$G$60)</f>
        <v>0</v>
      </c>
      <c r="T5" s="32" t="n">
        <f aca="false">SUMIF(Sourcing!$B$2:$B$60,$A5,Sourcing!$G$2:$G$60)</f>
        <v>1</v>
      </c>
    </row>
    <row r="6" customFormat="false" ht="42" hidden="false" customHeight="true" outlineLevel="0" collapsed="false">
      <c r="A6" s="6" t="s">
        <v>306</v>
      </c>
      <c r="B6" s="7" t="s">
        <v>307</v>
      </c>
      <c r="C6" s="7" t="s">
        <v>308</v>
      </c>
      <c r="D6" s="11" t="s">
        <v>309</v>
      </c>
      <c r="E6" s="7" t="s">
        <v>310</v>
      </c>
      <c r="F6" s="10" t="s">
        <v>282</v>
      </c>
      <c r="G6" s="33" t="n">
        <f aca="false">SUMPRODUCT((Sourcing!$B$2:$B$60=$A6)*Sourcing!$G$2:$G$60*Sourcing!$I$2:$I$60)</f>
        <v>107</v>
      </c>
      <c r="H6" s="51" t="n">
        <v>0</v>
      </c>
      <c r="I6" s="52" t="n">
        <v>0.97</v>
      </c>
      <c r="J6" s="33" t="n">
        <f aca="false">SUMPRODUCT((Sourcing!$B$2:$B$60=$A6)*Sourcing!$G$2:$G$60*Sourcing!$J$2:$J$60)</f>
        <v>12.4</v>
      </c>
      <c r="K6" s="29" t="n">
        <f aca="false">SUMPRODUCT(MAX((Sourcing!$B$2:$B$60=$A6)*Sourcing!$J$2:$J$60))</f>
        <v>38</v>
      </c>
      <c r="L6" s="29" t="n">
        <f aca="false">SUMIFS(Sourcing!$K$2:$K$60,Sourcing!$B$2:$B$60,$A6,Sourcing!$F$2:$F$60,"Primary")+SUMIFS(Sourcing!$K$2:$K$60,Sourcing!$B$2:$B$60,$A6,Sourcing!$F$2:$F$60,"Sole source")</f>
        <v>5000</v>
      </c>
      <c r="M6" s="39" t="n">
        <v>12</v>
      </c>
      <c r="N6" s="42" t="s">
        <v>283</v>
      </c>
      <c r="O6" s="11" t="s">
        <v>311</v>
      </c>
      <c r="P6" s="11" t="s">
        <v>312</v>
      </c>
      <c r="Q6" s="53" t="n">
        <f aca="false">COUNTIF(Sourcing!$B$2:$B$60,$A6)</f>
        <v>2</v>
      </c>
      <c r="R6" s="10" t="str">
        <f aca="false">IF(Q6=1,"Yes","No")</f>
        <v>No</v>
      </c>
      <c r="S6" s="31" t="n">
        <f aca="false">SUMPRODUCT((Sourcing!$B$2:$B$60=$A6)*(Sourcing!$M$2:$M$60&lt;&gt;"India")*Sourcing!$G$2:$G$60)</f>
        <v>0.2</v>
      </c>
      <c r="T6" s="32" t="n">
        <f aca="false">SUMIF(Sourcing!$B$2:$B$60,$A6,Sourcing!$G$2:$G$60)</f>
        <v>1</v>
      </c>
    </row>
    <row r="7" customFormat="false" ht="42" hidden="false" customHeight="true" outlineLevel="0" collapsed="false">
      <c r="A7" s="6" t="s">
        <v>313</v>
      </c>
      <c r="B7" s="7" t="s">
        <v>314</v>
      </c>
      <c r="C7" s="7" t="s">
        <v>315</v>
      </c>
      <c r="D7" s="11" t="s">
        <v>316</v>
      </c>
      <c r="E7" s="7" t="s">
        <v>310</v>
      </c>
      <c r="F7" s="10" t="s">
        <v>282</v>
      </c>
      <c r="G7" s="33" t="n">
        <f aca="false">SUMPRODUCT((Sourcing!$B$2:$B$60=$A7)*Sourcing!$G$2:$G$60*Sourcing!$I$2:$I$60)</f>
        <v>156</v>
      </c>
      <c r="H7" s="51" t="n">
        <v>0</v>
      </c>
      <c r="I7" s="52" t="n">
        <v>0.97</v>
      </c>
      <c r="J7" s="33" t="n">
        <f aca="false">SUMPRODUCT((Sourcing!$B$2:$B$60=$A7)*Sourcing!$G$2:$G$60*Sourcing!$J$2:$J$60)</f>
        <v>25.2</v>
      </c>
      <c r="K7" s="29" t="n">
        <f aca="false">SUMPRODUCT(MAX((Sourcing!$B$2:$B$60=$A7)*Sourcing!$J$2:$J$60))</f>
        <v>38</v>
      </c>
      <c r="L7" s="29" t="n">
        <f aca="false">SUMIFS(Sourcing!$K$2:$K$60,Sourcing!$B$2:$B$60,$A7,Sourcing!$F$2:$F$60,"Primary")+SUMIFS(Sourcing!$K$2:$K$60,Sourcing!$B$2:$B$60,$A7,Sourcing!$F$2:$F$60,"Sole source")</f>
        <v>20000</v>
      </c>
      <c r="M7" s="39" t="n">
        <v>14</v>
      </c>
      <c r="N7" s="42" t="s">
        <v>283</v>
      </c>
      <c r="O7" s="11" t="s">
        <v>317</v>
      </c>
      <c r="P7" s="11" t="s">
        <v>318</v>
      </c>
      <c r="Q7" s="53" t="n">
        <f aca="false">COUNTIF(Sourcing!$B$2:$B$60,$A7)</f>
        <v>2</v>
      </c>
      <c r="R7" s="10" t="str">
        <f aca="false">IF(Q7=1,"Yes","No")</f>
        <v>No</v>
      </c>
      <c r="S7" s="31" t="n">
        <f aca="false">SUMPRODUCT((Sourcing!$B$2:$B$60=$A7)*(Sourcing!$M$2:$M$60&lt;&gt;"India")*Sourcing!$G$2:$G$60)</f>
        <v>0.6</v>
      </c>
      <c r="T7" s="32" t="n">
        <f aca="false">SUMIF(Sourcing!$B$2:$B$60,$A7,Sourcing!$G$2:$G$60)</f>
        <v>1</v>
      </c>
    </row>
    <row r="8" customFormat="false" ht="42" hidden="false" customHeight="true" outlineLevel="0" collapsed="false">
      <c r="A8" s="6" t="s">
        <v>319</v>
      </c>
      <c r="B8" s="7" t="s">
        <v>320</v>
      </c>
      <c r="C8" s="7" t="s">
        <v>321</v>
      </c>
      <c r="D8" s="11" t="s">
        <v>322</v>
      </c>
      <c r="E8" s="7" t="s">
        <v>323</v>
      </c>
      <c r="F8" s="10" t="s">
        <v>282</v>
      </c>
      <c r="G8" s="33" t="n">
        <f aca="false">SUMPRODUCT((Sourcing!$B$2:$B$60=$A8)*Sourcing!$G$2:$G$60*Sourcing!$I$2:$I$60)</f>
        <v>206.5</v>
      </c>
      <c r="H8" s="51" t="n">
        <v>0</v>
      </c>
      <c r="I8" s="52" t="n">
        <v>0.82</v>
      </c>
      <c r="J8" s="33" t="n">
        <f aca="false">SUMPRODUCT((Sourcing!$B$2:$B$60=$A8)*Sourcing!$G$2:$G$60*Sourcing!$J$2:$J$60)</f>
        <v>5.2</v>
      </c>
      <c r="K8" s="29" t="n">
        <f aca="false">SUMPRODUCT(MAX((Sourcing!$B$2:$B$60=$A8)*Sourcing!$J$2:$J$60))</f>
        <v>7</v>
      </c>
      <c r="L8" s="29" t="n">
        <f aca="false">SUMIFS(Sourcing!$K$2:$K$60,Sourcing!$B$2:$B$60,$A8,Sourcing!$F$2:$F$60,"Primary")+SUMIFS(Sourcing!$K$2:$K$60,Sourcing!$B$2:$B$60,$A8,Sourcing!$F$2:$F$60,"Sole source")</f>
        <v>1000</v>
      </c>
      <c r="M8" s="39" t="n">
        <v>7</v>
      </c>
      <c r="N8" s="42" t="s">
        <v>297</v>
      </c>
      <c r="O8" s="11" t="s">
        <v>324</v>
      </c>
      <c r="P8" s="11" t="s">
        <v>325</v>
      </c>
      <c r="Q8" s="53" t="n">
        <f aca="false">COUNTIF(Sourcing!$B$2:$B$60,$A8)</f>
        <v>2</v>
      </c>
      <c r="R8" s="10" t="str">
        <f aca="false">IF(Q8=1,"Yes","No")</f>
        <v>No</v>
      </c>
      <c r="S8" s="31" t="n">
        <f aca="false">SUMPRODUCT((Sourcing!$B$2:$B$60=$A8)*(Sourcing!$M$2:$M$60&lt;&gt;"India")*Sourcing!$G$2:$G$60)</f>
        <v>0</v>
      </c>
      <c r="T8" s="32" t="n">
        <f aca="false">SUMIF(Sourcing!$B$2:$B$60,$A8,Sourcing!$G$2:$G$60)</f>
        <v>1</v>
      </c>
    </row>
    <row r="9" customFormat="false" ht="42" hidden="false" customHeight="true" outlineLevel="0" collapsed="false">
      <c r="A9" s="6" t="s">
        <v>326</v>
      </c>
      <c r="B9" s="7" t="s">
        <v>327</v>
      </c>
      <c r="C9" s="7" t="s">
        <v>328</v>
      </c>
      <c r="D9" s="11" t="s">
        <v>329</v>
      </c>
      <c r="E9" s="7" t="s">
        <v>330</v>
      </c>
      <c r="F9" s="10" t="s">
        <v>282</v>
      </c>
      <c r="G9" s="33" t="n">
        <f aca="false">SUMPRODUCT((Sourcing!$B$2:$B$60=$A9)*Sourcing!$G$2:$G$60*Sourcing!$I$2:$I$60)</f>
        <v>2080</v>
      </c>
      <c r="H9" s="51" t="n">
        <v>0</v>
      </c>
      <c r="I9" s="52" t="n">
        <v>0.96</v>
      </c>
      <c r="J9" s="33" t="n">
        <f aca="false">SUMPRODUCT((Sourcing!$B$2:$B$60=$A9)*Sourcing!$G$2:$G$60*Sourcing!$J$2:$J$60)</f>
        <v>12.3</v>
      </c>
      <c r="K9" s="29" t="n">
        <f aca="false">SUMPRODUCT(MAX((Sourcing!$B$2:$B$60=$A9)*Sourcing!$J$2:$J$60))</f>
        <v>15</v>
      </c>
      <c r="L9" s="29" t="n">
        <f aca="false">SUMIFS(Sourcing!$K$2:$K$60,Sourcing!$B$2:$B$60,$A9,Sourcing!$F$2:$F$60,"Primary")+SUMIFS(Sourcing!$K$2:$K$60,Sourcing!$B$2:$B$60,$A9,Sourcing!$F$2:$F$60,"Sole source")</f>
        <v>100</v>
      </c>
      <c r="M9" s="39" t="n">
        <v>15</v>
      </c>
      <c r="N9" s="42" t="s">
        <v>297</v>
      </c>
      <c r="O9" s="11" t="s">
        <v>331</v>
      </c>
      <c r="P9" s="11" t="s">
        <v>332</v>
      </c>
      <c r="Q9" s="53" t="n">
        <f aca="false">COUNTIF(Sourcing!$B$2:$B$60,$A9)</f>
        <v>2</v>
      </c>
      <c r="R9" s="10" t="str">
        <f aca="false">IF(Q9=1,"Yes","No")</f>
        <v>No</v>
      </c>
      <c r="S9" s="31" t="n">
        <f aca="false">SUMPRODUCT((Sourcing!$B$2:$B$60=$A9)*(Sourcing!$M$2:$M$60&lt;&gt;"India")*Sourcing!$G$2:$G$60)</f>
        <v>0</v>
      </c>
      <c r="T9" s="32" t="n">
        <f aca="false">SUMIF(Sourcing!$B$2:$B$60,$A9,Sourcing!$G$2:$G$60)</f>
        <v>1</v>
      </c>
    </row>
    <row r="10" customFormat="false" ht="42" hidden="false" customHeight="true" outlineLevel="0" collapsed="false">
      <c r="A10" s="6" t="s">
        <v>333</v>
      </c>
      <c r="B10" s="7" t="s">
        <v>334</v>
      </c>
      <c r="C10" s="7" t="s">
        <v>335</v>
      </c>
      <c r="D10" s="11" t="s">
        <v>336</v>
      </c>
      <c r="E10" s="7" t="s">
        <v>337</v>
      </c>
      <c r="F10" s="10" t="s">
        <v>282</v>
      </c>
      <c r="G10" s="33" t="n">
        <f aca="false">SUMPRODUCT((Sourcing!$B$2:$B$60=$A10)*Sourcing!$G$2:$G$60*Sourcing!$I$2:$I$60)</f>
        <v>345</v>
      </c>
      <c r="H10" s="51" t="n">
        <v>0</v>
      </c>
      <c r="I10" s="52" t="n">
        <v>0.8</v>
      </c>
      <c r="J10" s="33" t="n">
        <f aca="false">SUMPRODUCT((Sourcing!$B$2:$B$60=$A10)*Sourcing!$G$2:$G$60*Sourcing!$J$2:$J$60)</f>
        <v>9</v>
      </c>
      <c r="K10" s="29" t="n">
        <f aca="false">SUMPRODUCT(MAX((Sourcing!$B$2:$B$60=$A10)*Sourcing!$J$2:$J$60))</f>
        <v>9</v>
      </c>
      <c r="L10" s="29" t="n">
        <f aca="false">SUMIFS(Sourcing!$K$2:$K$60,Sourcing!$B$2:$B$60,$A10,Sourcing!$F$2:$F$60,"Primary")+SUMIFS(Sourcing!$K$2:$K$60,Sourcing!$B$2:$B$60,$A10,Sourcing!$F$2:$F$60,"Sole source")</f>
        <v>500</v>
      </c>
      <c r="M10" s="39" t="n">
        <v>10</v>
      </c>
      <c r="N10" s="42" t="s">
        <v>283</v>
      </c>
      <c r="O10" s="11" t="s">
        <v>338</v>
      </c>
      <c r="P10" s="11" t="s">
        <v>339</v>
      </c>
      <c r="Q10" s="53" t="n">
        <f aca="false">COUNTIF(Sourcing!$B$2:$B$60,$A10)</f>
        <v>1</v>
      </c>
      <c r="R10" s="10" t="str">
        <f aca="false">IF(Q10=1,"Yes","No")</f>
        <v>Yes</v>
      </c>
      <c r="S10" s="31" t="n">
        <f aca="false">SUMPRODUCT((Sourcing!$B$2:$B$60=$A10)*(Sourcing!$M$2:$M$60&lt;&gt;"India")*Sourcing!$G$2:$G$60)</f>
        <v>0</v>
      </c>
      <c r="T10" s="32" t="n">
        <f aca="false">SUMIF(Sourcing!$B$2:$B$60,$A10,Sourcing!$G$2:$G$60)</f>
        <v>1</v>
      </c>
    </row>
    <row r="11" customFormat="false" ht="42" hidden="false" customHeight="true" outlineLevel="0" collapsed="false">
      <c r="A11" s="6" t="s">
        <v>340</v>
      </c>
      <c r="B11" s="7" t="s">
        <v>341</v>
      </c>
      <c r="C11" s="7" t="s">
        <v>342</v>
      </c>
      <c r="D11" s="11" t="s">
        <v>343</v>
      </c>
      <c r="E11" s="7" t="s">
        <v>344</v>
      </c>
      <c r="F11" s="10" t="s">
        <v>282</v>
      </c>
      <c r="G11" s="33" t="n">
        <f aca="false">SUMPRODUCT((Sourcing!$B$2:$B$60=$A11)*Sourcing!$G$2:$G$60*Sourcing!$I$2:$I$60)</f>
        <v>52</v>
      </c>
      <c r="H11" s="51" t="n">
        <v>0</v>
      </c>
      <c r="I11" s="52" t="n">
        <v>0.97</v>
      </c>
      <c r="J11" s="33" t="n">
        <f aca="false">SUMPRODUCT((Sourcing!$B$2:$B$60=$A11)*Sourcing!$G$2:$G$60*Sourcing!$J$2:$J$60)</f>
        <v>6</v>
      </c>
      <c r="K11" s="29" t="n">
        <f aca="false">SUMPRODUCT(MAX((Sourcing!$B$2:$B$60=$A11)*Sourcing!$J$2:$J$60))</f>
        <v>6</v>
      </c>
      <c r="L11" s="29" t="n">
        <f aca="false">SUMIFS(Sourcing!$K$2:$K$60,Sourcing!$B$2:$B$60,$A11,Sourcing!$F$2:$F$60,"Primary")+SUMIFS(Sourcing!$K$2:$K$60,Sourcing!$B$2:$B$60,$A11,Sourcing!$F$2:$F$60,"Sole source")</f>
        <v>2000</v>
      </c>
      <c r="M11" s="39" t="n">
        <v>7</v>
      </c>
      <c r="N11" s="42" t="s">
        <v>345</v>
      </c>
      <c r="O11" s="11" t="s">
        <v>346</v>
      </c>
      <c r="P11" s="11" t="s">
        <v>347</v>
      </c>
      <c r="Q11" s="53" t="n">
        <f aca="false">COUNTIF(Sourcing!$B$2:$B$60,$A11)</f>
        <v>1</v>
      </c>
      <c r="R11" s="10" t="str">
        <f aca="false">IF(Q11=1,"Yes","No")</f>
        <v>Yes</v>
      </c>
      <c r="S11" s="31" t="n">
        <f aca="false">SUMPRODUCT((Sourcing!$B$2:$B$60=$A11)*(Sourcing!$M$2:$M$60&lt;&gt;"India")*Sourcing!$G$2:$G$60)</f>
        <v>0</v>
      </c>
      <c r="T11" s="32" t="n">
        <f aca="false">SUMIF(Sourcing!$B$2:$B$60,$A11,Sourcing!$G$2:$G$60)</f>
        <v>1</v>
      </c>
    </row>
    <row r="13" customFormat="false" ht="15" hidden="false" customHeight="false" outlineLevel="0" collapsed="false">
      <c r="A13" s="27" t="s">
        <v>348</v>
      </c>
    </row>
    <row r="14" customFormat="false" ht="15" hidden="false" customHeight="false" outlineLevel="0" collapsed="false">
      <c r="A14" s="27" t="s">
        <v>349</v>
      </c>
    </row>
  </sheetData>
  <autoFilter ref="A1:T11"/>
  <dataValidations count="1">
    <dataValidation allowBlank="true" error="Pick a value from the list" errorStyle="stop" operator="between" showDropDown="false" showErrorMessage="false" showInputMessage="false" sqref="N2:N11" type="list">
      <formula1>"Low,Medium,High"</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U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1"/>
    <col collapsed="false" customWidth="true" hidden="false" outlineLevel="0" max="4" min="4" style="0" width="26"/>
    <col collapsed="false" customWidth="true" hidden="false" outlineLevel="0" max="5" min="5" style="0" width="9"/>
    <col collapsed="false" customWidth="true" hidden="false" outlineLevel="0" max="6" min="6" style="0" width="28"/>
    <col collapsed="false" customWidth="true" hidden="false" outlineLevel="0" max="7" min="7" style="0" width="32"/>
    <col collapsed="false" customWidth="true" hidden="false" outlineLevel="0" max="9" min="8" style="0" width="12"/>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6" min="13" style="0" width="11"/>
    <col collapsed="false" customWidth="true" hidden="false" outlineLevel="0" max="17" min="17" style="0" width="13"/>
    <col collapsed="false" customWidth="true" hidden="false" outlineLevel="0" max="19" min="18" style="0" width="11"/>
    <col collapsed="false" customWidth="true" hidden="false" outlineLevel="0" max="20" min="20" style="0" width="9"/>
    <col collapsed="false" customWidth="true" hidden="false" outlineLevel="0" max="21" min="21" style="0" width="52"/>
  </cols>
  <sheetData>
    <row r="1" customFormat="false" ht="48" hidden="false" customHeight="true" outlineLevel="0" collapsed="false">
      <c r="A1" s="8" t="s">
        <v>350</v>
      </c>
      <c r="B1" s="8" t="s">
        <v>351</v>
      </c>
      <c r="C1" s="8" t="s">
        <v>260</v>
      </c>
      <c r="D1" s="8" t="s">
        <v>352</v>
      </c>
      <c r="E1" s="8" t="s">
        <v>353</v>
      </c>
      <c r="F1" s="8" t="s">
        <v>354</v>
      </c>
      <c r="G1" s="8" t="s">
        <v>355</v>
      </c>
      <c r="H1" s="8" t="s">
        <v>356</v>
      </c>
      <c r="I1" s="8" t="s">
        <v>357</v>
      </c>
      <c r="J1" s="8" t="s">
        <v>358</v>
      </c>
      <c r="K1" s="8" t="s">
        <v>359</v>
      </c>
      <c r="L1" s="8" t="s">
        <v>360</v>
      </c>
      <c r="M1" s="8" t="s">
        <v>361</v>
      </c>
      <c r="N1" s="8" t="s">
        <v>362</v>
      </c>
      <c r="O1" s="8" t="s">
        <v>363</v>
      </c>
      <c r="P1" s="8" t="s">
        <v>364</v>
      </c>
      <c r="Q1" s="8" t="s">
        <v>365</v>
      </c>
      <c r="R1" s="8" t="s">
        <v>366</v>
      </c>
      <c r="S1" s="8" t="s">
        <v>367</v>
      </c>
      <c r="T1" s="8" t="s">
        <v>368</v>
      </c>
      <c r="U1" s="8" t="s">
        <v>369</v>
      </c>
    </row>
    <row r="2" customFormat="false" ht="30" hidden="false" customHeight="true" outlineLevel="0" collapsed="false">
      <c r="A2" s="6" t="s">
        <v>370</v>
      </c>
      <c r="B2" s="7" t="s">
        <v>371</v>
      </c>
      <c r="C2" s="7" t="s">
        <v>372</v>
      </c>
      <c r="D2" s="7" t="s">
        <v>373</v>
      </c>
      <c r="E2" s="36" t="s">
        <v>374</v>
      </c>
      <c r="F2" s="7" t="s">
        <v>375</v>
      </c>
      <c r="G2" s="11" t="s">
        <v>376</v>
      </c>
      <c r="H2" s="54" t="n">
        <v>0.91</v>
      </c>
      <c r="I2" s="55" t="n">
        <v>4.5</v>
      </c>
      <c r="J2" s="54" t="n">
        <v>0.008</v>
      </c>
      <c r="K2" s="55" t="n">
        <v>4</v>
      </c>
      <c r="L2" s="39" t="n">
        <v>84</v>
      </c>
      <c r="M2" s="39" t="n">
        <v>21</v>
      </c>
      <c r="N2" s="53" t="n">
        <f aca="false">COUNTIF(Sourcing!$D$2:$D$60,$A2)</f>
        <v>2</v>
      </c>
      <c r="O2" s="53" t="n">
        <f aca="false">COUNTIFS(Sourcing!$D$2:$D$60,$A2,Sourcing!$F$2:$F$60,"Sole source")</f>
        <v>0</v>
      </c>
      <c r="P2" s="33" t="n">
        <f aca="false">IFERROR(AVERAGEIF(Sourcing!$D$2:$D$60,$A2,Sourcing!$J$2:$J$60),0)</f>
        <v>19.5</v>
      </c>
      <c r="Q2" s="44" t="n">
        <f aca="false">INDEX(Spend!$M$5:$M$14,MATCH($A2,Spend!$A$5:$A$14,0))</f>
        <v>1540.77530558824</v>
      </c>
      <c r="R2" s="32" t="n">
        <f aca="false">IF(SUM($Q$2:$Q$11)=0,0,Q2/SUM($Q$2:$Q$11))</f>
        <v>0.0953568554384777</v>
      </c>
      <c r="S2" s="10" t="str">
        <f aca="false">IF(E2="India","Domestic","Import")</f>
        <v>Domestic</v>
      </c>
      <c r="T2" s="53" t="n">
        <f aca="false">(H2&lt;Assumptions!$B$15)+(O2&gt;0)+(S2="Import")+(L2&lt;Assumptions!$B$16)+(R2&gt;=Assumptions!$B$17)</f>
        <v>0</v>
      </c>
      <c r="U2" s="11" t="str">
        <f aca="false">IF(T2=0,"None",MID(IF(H2&lt;Assumptions!$B$15,"; Low on-time delivery","")&amp;IF(O2&gt;0,"; Sole source for "&amp;O2&amp;" material(s)","")&amp;IF(S2="Import","; Import / long lead time","")&amp;IF(L2&lt;Assumptions!$B$16,"; Weak financial score","")&amp;IF(R2&gt;=Assumptions!$B$17,"; High share of RM spend",""),3,200))</f>
        <v>None</v>
      </c>
    </row>
    <row r="3" customFormat="false" ht="30" hidden="false" customHeight="true" outlineLevel="0" collapsed="false">
      <c r="A3" s="6" t="s">
        <v>377</v>
      </c>
      <c r="B3" s="7" t="s">
        <v>378</v>
      </c>
      <c r="C3" s="7" t="s">
        <v>379</v>
      </c>
      <c r="D3" s="7" t="s">
        <v>380</v>
      </c>
      <c r="E3" s="36" t="s">
        <v>374</v>
      </c>
      <c r="F3" s="7" t="s">
        <v>381</v>
      </c>
      <c r="G3" s="11" t="s">
        <v>382</v>
      </c>
      <c r="H3" s="54" t="n">
        <v>0.955</v>
      </c>
      <c r="I3" s="55" t="n">
        <v>2</v>
      </c>
      <c r="J3" s="54" t="n">
        <v>0.009</v>
      </c>
      <c r="K3" s="55" t="n">
        <v>2</v>
      </c>
      <c r="L3" s="39" t="n">
        <v>74</v>
      </c>
      <c r="M3" s="39" t="n">
        <v>45</v>
      </c>
      <c r="N3" s="53" t="n">
        <f aca="false">COUNTIF(Sourcing!$D$2:$D$60,$A3)</f>
        <v>3</v>
      </c>
      <c r="O3" s="53" t="n">
        <f aca="false">COUNTIFS(Sourcing!$D$2:$D$60,$A3,Sourcing!$F$2:$F$60,"Sole source")</f>
        <v>0</v>
      </c>
      <c r="P3" s="33" t="n">
        <f aca="false">IFERROR(AVERAGEIF(Sourcing!$D$2:$D$60,$A3,Sourcing!$J$2:$J$60),0)</f>
        <v>6.33333333333333</v>
      </c>
      <c r="Q3" s="44" t="n">
        <f aca="false">INDEX(Spend!$M$5:$M$14,MATCH($A3,Spend!$A$5:$A$14,0))</f>
        <v>1813.18510137631</v>
      </c>
      <c r="R3" s="32" t="n">
        <f aca="false">IF(SUM($Q$2:$Q$11)=0,0,Q3/SUM($Q$2:$Q$11))</f>
        <v>0.112215992148922</v>
      </c>
      <c r="S3" s="10" t="str">
        <f aca="false">IF(E3="India","Domestic","Import")</f>
        <v>Domestic</v>
      </c>
      <c r="T3" s="53" t="n">
        <f aca="false">(H3&lt;Assumptions!$B$15)+(O3&gt;0)+(S3="Import")+(L3&lt;Assumptions!$B$16)+(R3&gt;=Assumptions!$B$17)</f>
        <v>0</v>
      </c>
      <c r="U3" s="11" t="str">
        <f aca="false">IF(T3=0,"None",MID(IF(H3&lt;Assumptions!$B$15,"; Low on-time delivery","")&amp;IF(O3&gt;0,"; Sole source for "&amp;O3&amp;" material(s)","")&amp;IF(S3="Import","; Import / long lead time","")&amp;IF(L3&lt;Assumptions!$B$16,"; Weak financial score","")&amp;IF(R3&gt;=Assumptions!$B$17,"; High share of RM spend",""),3,200))</f>
        <v>None</v>
      </c>
    </row>
    <row r="4" customFormat="false" ht="30" hidden="false" customHeight="true" outlineLevel="0" collapsed="false">
      <c r="A4" s="6" t="s">
        <v>383</v>
      </c>
      <c r="B4" s="7" t="s">
        <v>384</v>
      </c>
      <c r="C4" s="7" t="s">
        <v>385</v>
      </c>
      <c r="D4" s="7" t="s">
        <v>386</v>
      </c>
      <c r="E4" s="36" t="s">
        <v>374</v>
      </c>
      <c r="F4" s="7" t="s">
        <v>387</v>
      </c>
      <c r="G4" s="11" t="s">
        <v>388</v>
      </c>
      <c r="H4" s="54" t="n">
        <v>0.9</v>
      </c>
      <c r="I4" s="55" t="n">
        <v>3.5</v>
      </c>
      <c r="J4" s="54" t="n">
        <v>0.014</v>
      </c>
      <c r="K4" s="55" t="n">
        <v>3</v>
      </c>
      <c r="L4" s="39" t="n">
        <v>69</v>
      </c>
      <c r="M4" s="39" t="n">
        <v>30</v>
      </c>
      <c r="N4" s="53" t="n">
        <f aca="false">COUNTIF(Sourcing!$D$2:$D$60,$A4)</f>
        <v>1</v>
      </c>
      <c r="O4" s="53" t="n">
        <f aca="false">COUNTIFS(Sourcing!$D$2:$D$60,$A4,Sourcing!$F$2:$F$60,"Sole source")</f>
        <v>0</v>
      </c>
      <c r="P4" s="33" t="n">
        <f aca="false">IFERROR(AVERAGEIF(Sourcing!$D$2:$D$60,$A4,Sourcing!$J$2:$J$60),0)</f>
        <v>10</v>
      </c>
      <c r="Q4" s="44" t="n">
        <f aca="false">INDEX(Spend!$M$5:$M$14,MATCH($A4,Spend!$A$5:$A$14,0))</f>
        <v>1453.50329347826</v>
      </c>
      <c r="R4" s="32" t="n">
        <f aca="false">IF(SUM($Q$2:$Q$11)=0,0,Q4/SUM($Q$2:$Q$11))</f>
        <v>0.089955688498423</v>
      </c>
      <c r="S4" s="10" t="str">
        <f aca="false">IF(E4="India","Domestic","Import")</f>
        <v>Domestic</v>
      </c>
      <c r="T4" s="53" t="n">
        <f aca="false">(H4&lt;Assumptions!$B$15)+(O4&gt;0)+(S4="Import")+(L4&lt;Assumptions!$B$16)+(R4&gt;=Assumptions!$B$17)</f>
        <v>0</v>
      </c>
      <c r="U4" s="11" t="str">
        <f aca="false">IF(T4=0,"None",MID(IF(H4&lt;Assumptions!$B$15,"; Low on-time delivery","")&amp;IF(O4&gt;0,"; Sole source for "&amp;O4&amp;" material(s)","")&amp;IF(S4="Import","; Import / long lead time","")&amp;IF(L4&lt;Assumptions!$B$16,"; Weak financial score","")&amp;IF(R4&gt;=Assumptions!$B$17,"; High share of RM spend",""),3,200))</f>
        <v>None</v>
      </c>
    </row>
    <row r="5" customFormat="false" ht="30" hidden="false" customHeight="true" outlineLevel="0" collapsed="false">
      <c r="A5" s="6" t="s">
        <v>389</v>
      </c>
      <c r="B5" s="7" t="s">
        <v>390</v>
      </c>
      <c r="C5" s="7" t="s">
        <v>390</v>
      </c>
      <c r="D5" s="7" t="s">
        <v>391</v>
      </c>
      <c r="E5" s="36" t="s">
        <v>374</v>
      </c>
      <c r="F5" s="7" t="s">
        <v>392</v>
      </c>
      <c r="G5" s="11" t="s">
        <v>393</v>
      </c>
      <c r="H5" s="54" t="n">
        <v>0.93</v>
      </c>
      <c r="I5" s="55" t="n">
        <v>2.5</v>
      </c>
      <c r="J5" s="54" t="n">
        <v>0.011</v>
      </c>
      <c r="K5" s="55" t="n">
        <v>2.5</v>
      </c>
      <c r="L5" s="39" t="n">
        <v>61</v>
      </c>
      <c r="M5" s="39" t="n">
        <v>15</v>
      </c>
      <c r="N5" s="53" t="n">
        <f aca="false">COUNTIF(Sourcing!$D$2:$D$60,$A5)</f>
        <v>3</v>
      </c>
      <c r="O5" s="53" t="n">
        <f aca="false">COUNTIFS(Sourcing!$D$2:$D$60,$A5,Sourcing!$F$2:$F$60,"Sole source")</f>
        <v>0</v>
      </c>
      <c r="P5" s="33" t="n">
        <f aca="false">IFERROR(AVERAGEIF(Sourcing!$D$2:$D$60,$A5,Sourcing!$J$2:$J$60),0)</f>
        <v>4.33333333333333</v>
      </c>
      <c r="Q5" s="44" t="n">
        <f aca="false">INDEX(Spend!$M$5:$M$14,MATCH($A5,Spend!$A$5:$A$14,0))</f>
        <v>1417.57452203407</v>
      </c>
      <c r="R5" s="32" t="n">
        <f aca="false">IF(SUM($Q$2:$Q$11)=0,0,Q5/SUM($Q$2:$Q$11))</f>
        <v>0.0877320971335691</v>
      </c>
      <c r="S5" s="10" t="str">
        <f aca="false">IF(E5="India","Domestic","Import")</f>
        <v>Domestic</v>
      </c>
      <c r="T5" s="53" t="n">
        <f aca="false">(H5&lt;Assumptions!$B$15)+(O5&gt;0)+(S5="Import")+(L5&lt;Assumptions!$B$16)+(R5&gt;=Assumptions!$B$17)</f>
        <v>1</v>
      </c>
      <c r="U5" s="11" t="str">
        <f aca="false">IF(T5=0,"None",MID(IF(H5&lt;Assumptions!$B$15,"; Low on-time delivery","")&amp;IF(O5&gt;0,"; Sole source for "&amp;O5&amp;" material(s)","")&amp;IF(S5="Import","; Import / long lead time","")&amp;IF(L5&lt;Assumptions!$B$16,"; Weak financial score","")&amp;IF(R5&gt;=Assumptions!$B$17,"; High share of RM spend",""),3,200))</f>
        <v>Weak financial score</v>
      </c>
    </row>
    <row r="6" customFormat="false" ht="30" hidden="false" customHeight="true" outlineLevel="0" collapsed="false">
      <c r="A6" s="6" t="s">
        <v>394</v>
      </c>
      <c r="B6" s="7" t="s">
        <v>395</v>
      </c>
      <c r="C6" s="7" t="s">
        <v>396</v>
      </c>
      <c r="D6" s="7" t="s">
        <v>397</v>
      </c>
      <c r="E6" s="36" t="s">
        <v>374</v>
      </c>
      <c r="F6" s="7" t="s">
        <v>398</v>
      </c>
      <c r="G6" s="11" t="s">
        <v>399</v>
      </c>
      <c r="H6" s="54" t="n">
        <v>0.96</v>
      </c>
      <c r="I6" s="55" t="n">
        <v>1.5</v>
      </c>
      <c r="J6" s="54" t="n">
        <v>0.003</v>
      </c>
      <c r="K6" s="55" t="n">
        <v>1.5</v>
      </c>
      <c r="L6" s="39" t="n">
        <v>78</v>
      </c>
      <c r="M6" s="39" t="n">
        <v>45</v>
      </c>
      <c r="N6" s="53" t="n">
        <f aca="false">COUNTIF(Sourcing!$D$2:$D$60,$A6)</f>
        <v>2</v>
      </c>
      <c r="O6" s="53" t="n">
        <f aca="false">COUNTIFS(Sourcing!$D$2:$D$60,$A6,Sourcing!$F$2:$F$60,"Sole source")</f>
        <v>0</v>
      </c>
      <c r="P6" s="33" t="n">
        <f aca="false">IFERROR(AVERAGEIF(Sourcing!$D$2:$D$60,$A6,Sourcing!$J$2:$J$60),0)</f>
        <v>13.5</v>
      </c>
      <c r="Q6" s="44" t="n">
        <f aca="false">INDEX(Spend!$M$5:$M$14,MATCH($A6,Spend!$A$5:$A$14,0))</f>
        <v>5291.39326264881</v>
      </c>
      <c r="R6" s="32" t="n">
        <f aca="false">IF(SUM($Q$2:$Q$11)=0,0,Q6/SUM($Q$2:$Q$11))</f>
        <v>0.327478393886838</v>
      </c>
      <c r="S6" s="10" t="str">
        <f aca="false">IF(E6="India","Domestic","Import")</f>
        <v>Domestic</v>
      </c>
      <c r="T6" s="53" t="n">
        <f aca="false">(H6&lt;Assumptions!$B$15)+(O6&gt;0)+(S6="Import")+(L6&lt;Assumptions!$B$16)+(R6&gt;=Assumptions!$B$17)</f>
        <v>1</v>
      </c>
      <c r="U6" s="11" t="str">
        <f aca="false">IF(T6=0,"None",MID(IF(H6&lt;Assumptions!$B$15,"; Low on-time delivery","")&amp;IF(O6&gt;0,"; Sole source for "&amp;O6&amp;" material(s)","")&amp;IF(S6="Import","; Import / long lead time","")&amp;IF(L6&lt;Assumptions!$B$16,"; Weak financial score","")&amp;IF(R6&gt;=Assumptions!$B$17,"; High share of RM spend",""),3,200))</f>
        <v>High share of RM spend</v>
      </c>
    </row>
    <row r="7" customFormat="false" ht="30" hidden="false" customHeight="true" outlineLevel="0" collapsed="false">
      <c r="A7" s="6" t="s">
        <v>400</v>
      </c>
      <c r="B7" s="7" t="s">
        <v>401</v>
      </c>
      <c r="C7" s="7" t="s">
        <v>402</v>
      </c>
      <c r="D7" s="7" t="s">
        <v>403</v>
      </c>
      <c r="E7" s="36" t="s">
        <v>374</v>
      </c>
      <c r="F7" s="7" t="s">
        <v>404</v>
      </c>
      <c r="G7" s="11" t="s">
        <v>382</v>
      </c>
      <c r="H7" s="54" t="n">
        <v>0.885</v>
      </c>
      <c r="I7" s="55" t="n">
        <v>4</v>
      </c>
      <c r="J7" s="54" t="n">
        <v>0.007</v>
      </c>
      <c r="K7" s="55" t="n">
        <v>3.5</v>
      </c>
      <c r="L7" s="39" t="n">
        <v>66</v>
      </c>
      <c r="M7" s="39" t="n">
        <v>45</v>
      </c>
      <c r="N7" s="53" t="n">
        <f aca="false">COUNTIF(Sourcing!$D$2:$D$60,$A7)</f>
        <v>1</v>
      </c>
      <c r="O7" s="53" t="n">
        <f aca="false">COUNTIFS(Sourcing!$D$2:$D$60,$A7,Sourcing!$F$2:$F$60,"Sole source")</f>
        <v>0</v>
      </c>
      <c r="P7" s="33" t="n">
        <f aca="false">IFERROR(AVERAGEIF(Sourcing!$D$2:$D$60,$A7,Sourcing!$J$2:$J$60),0)</f>
        <v>14</v>
      </c>
      <c r="Q7" s="44" t="n">
        <f aca="false">INDEX(Spend!$M$5:$M$14,MATCH($A7,Spend!$A$5:$A$14,0))</f>
        <v>1689.54500637755</v>
      </c>
      <c r="R7" s="32" t="n">
        <f aca="false">IF(SUM($Q$2:$Q$11)=0,0,Q7/SUM($Q$2:$Q$11))</f>
        <v>0.104564045351465</v>
      </c>
      <c r="S7" s="10" t="str">
        <f aca="false">IF(E7="India","Domestic","Import")</f>
        <v>Domestic</v>
      </c>
      <c r="T7" s="53" t="n">
        <f aca="false">(H7&lt;Assumptions!$B$15)+(O7&gt;0)+(S7="Import")+(L7&lt;Assumptions!$B$16)+(R7&gt;=Assumptions!$B$17)</f>
        <v>1</v>
      </c>
      <c r="U7" s="11" t="str">
        <f aca="false">IF(T7=0,"None",MID(IF(H7&lt;Assumptions!$B$15,"; Low on-time delivery","")&amp;IF(O7&gt;0,"; Sole source for "&amp;O7&amp;" material(s)","")&amp;IF(S7="Import","; Import / long lead time","")&amp;IF(L7&lt;Assumptions!$B$16,"; Weak financial score","")&amp;IF(R7&gt;=Assumptions!$B$17,"; High share of RM spend",""),3,200))</f>
        <v>Low on-time delivery</v>
      </c>
    </row>
    <row r="8" customFormat="false" ht="30" hidden="false" customHeight="true" outlineLevel="0" collapsed="false">
      <c r="A8" s="6" t="s">
        <v>405</v>
      </c>
      <c r="B8" s="7" t="s">
        <v>406</v>
      </c>
      <c r="C8" s="7" t="s">
        <v>407</v>
      </c>
      <c r="D8" s="7" t="s">
        <v>408</v>
      </c>
      <c r="E8" s="36" t="s">
        <v>374</v>
      </c>
      <c r="F8" s="7" t="s">
        <v>409</v>
      </c>
      <c r="G8" s="11" t="s">
        <v>382</v>
      </c>
      <c r="H8" s="54" t="n">
        <v>0.945</v>
      </c>
      <c r="I8" s="55" t="n">
        <v>2</v>
      </c>
      <c r="J8" s="54" t="n">
        <v>0.004</v>
      </c>
      <c r="K8" s="55" t="n">
        <v>2</v>
      </c>
      <c r="L8" s="39" t="n">
        <v>85</v>
      </c>
      <c r="M8" s="39" t="n">
        <v>30</v>
      </c>
      <c r="N8" s="53" t="n">
        <f aca="false">COUNTIF(Sourcing!$D$2:$D$60,$A8)</f>
        <v>2</v>
      </c>
      <c r="O8" s="53" t="n">
        <f aca="false">COUNTIFS(Sourcing!$D$2:$D$60,$A8,Sourcing!$F$2:$F$60,"Sole source")</f>
        <v>0</v>
      </c>
      <c r="P8" s="33" t="n">
        <f aca="false">IFERROR(AVERAGEIF(Sourcing!$D$2:$D$60,$A8,Sourcing!$J$2:$J$60),0)</f>
        <v>6</v>
      </c>
      <c r="Q8" s="44" t="n">
        <f aca="false">INDEX(Spend!$M$5:$M$14,MATCH($A8,Spend!$A$5:$A$14,0))</f>
        <v>1066.99947216495</v>
      </c>
      <c r="R8" s="32" t="n">
        <f aca="false">IF(SUM($Q$2:$Q$11)=0,0,Q8/SUM($Q$2:$Q$11))</f>
        <v>0.0660354005228041</v>
      </c>
      <c r="S8" s="10" t="str">
        <f aca="false">IF(E8="India","Domestic","Import")</f>
        <v>Domestic</v>
      </c>
      <c r="T8" s="53" t="n">
        <f aca="false">(H8&lt;Assumptions!$B$15)+(O8&gt;0)+(S8="Import")+(L8&lt;Assumptions!$B$16)+(R8&gt;=Assumptions!$B$17)</f>
        <v>0</v>
      </c>
      <c r="U8" s="11" t="str">
        <f aca="false">IF(T8=0,"None",MID(IF(H8&lt;Assumptions!$B$15,"; Low on-time delivery","")&amp;IF(O8&gt;0,"; Sole source for "&amp;O8&amp;" material(s)","")&amp;IF(S8="Import","; Import / long lead time","")&amp;IF(L8&lt;Assumptions!$B$16,"; Weak financial score","")&amp;IF(R8&gt;=Assumptions!$B$17,"; High share of RM spend",""),3,200))</f>
        <v>None</v>
      </c>
    </row>
    <row r="9" customFormat="false" ht="30" hidden="false" customHeight="true" outlineLevel="0" collapsed="false">
      <c r="A9" s="6" t="s">
        <v>410</v>
      </c>
      <c r="B9" s="7" t="s">
        <v>411</v>
      </c>
      <c r="C9" s="7" t="s">
        <v>412</v>
      </c>
      <c r="D9" s="7" t="s">
        <v>413</v>
      </c>
      <c r="E9" s="36" t="s">
        <v>414</v>
      </c>
      <c r="F9" s="7" t="s">
        <v>415</v>
      </c>
      <c r="G9" s="11" t="s">
        <v>399</v>
      </c>
      <c r="H9" s="54" t="n">
        <v>0.86</v>
      </c>
      <c r="I9" s="55" t="n">
        <v>6.5</v>
      </c>
      <c r="J9" s="54" t="n">
        <v>0.005</v>
      </c>
      <c r="K9" s="55" t="n">
        <v>7</v>
      </c>
      <c r="L9" s="39" t="n">
        <v>88</v>
      </c>
      <c r="M9" s="39" t="n">
        <v>60</v>
      </c>
      <c r="N9" s="53" t="n">
        <f aca="false">COUNTIF(Sourcing!$D$2:$D$60,$A9)</f>
        <v>2</v>
      </c>
      <c r="O9" s="53" t="n">
        <f aca="false">COUNTIFS(Sourcing!$D$2:$D$60,$A9,Sourcing!$F$2:$F$60,"Sole source")</f>
        <v>0</v>
      </c>
      <c r="P9" s="33" t="n">
        <f aca="false">IFERROR(AVERAGEIF(Sourcing!$D$2:$D$60,$A9,Sourcing!$J$2:$J$60),0)</f>
        <v>38</v>
      </c>
      <c r="Q9" s="44" t="n">
        <f aca="false">INDEX(Spend!$M$5:$M$14,MATCH($A9,Spend!$A$5:$A$14,0))</f>
        <v>775.443197938144</v>
      </c>
      <c r="R9" s="32" t="n">
        <f aca="false">IF(SUM($Q$2:$Q$11)=0,0,Q9/SUM($Q$2:$Q$11))</f>
        <v>0.0479913097376053</v>
      </c>
      <c r="S9" s="10" t="str">
        <f aca="false">IF(E9="India","Domestic","Import")</f>
        <v>Import</v>
      </c>
      <c r="T9" s="53" t="n">
        <f aca="false">(H9&lt;Assumptions!$B$15)+(O9&gt;0)+(S9="Import")+(L9&lt;Assumptions!$B$16)+(R9&gt;=Assumptions!$B$17)</f>
        <v>2</v>
      </c>
      <c r="U9" s="11" t="str">
        <f aca="false">IF(T9=0,"None",MID(IF(H9&lt;Assumptions!$B$15,"; Low on-time delivery","")&amp;IF(O9&gt;0,"; Sole source for "&amp;O9&amp;" material(s)","")&amp;IF(S9="Import","; Import / long lead time","")&amp;IF(L9&lt;Assumptions!$B$16,"; Weak financial score","")&amp;IF(R9&gt;=Assumptions!$B$17,"; High share of RM spend",""),3,200))</f>
        <v>Low on-time delivery; Import / long lead time</v>
      </c>
    </row>
    <row r="10" customFormat="false" ht="30" hidden="false" customHeight="true" outlineLevel="0" collapsed="false">
      <c r="A10" s="6" t="s">
        <v>416</v>
      </c>
      <c r="B10" s="7" t="s">
        <v>417</v>
      </c>
      <c r="C10" s="7" t="s">
        <v>418</v>
      </c>
      <c r="D10" s="7" t="s">
        <v>419</v>
      </c>
      <c r="E10" s="36" t="s">
        <v>374</v>
      </c>
      <c r="F10" s="7" t="s">
        <v>420</v>
      </c>
      <c r="G10" s="11" t="s">
        <v>382</v>
      </c>
      <c r="H10" s="54" t="n">
        <v>0.925</v>
      </c>
      <c r="I10" s="55" t="n">
        <v>3</v>
      </c>
      <c r="J10" s="54" t="n">
        <v>0.006</v>
      </c>
      <c r="K10" s="55" t="n">
        <v>2.5</v>
      </c>
      <c r="L10" s="39" t="n">
        <v>58</v>
      </c>
      <c r="M10" s="39" t="n">
        <v>45</v>
      </c>
      <c r="N10" s="53" t="n">
        <f aca="false">COUNTIF(Sourcing!$D$2:$D$60,$A10)</f>
        <v>1</v>
      </c>
      <c r="O10" s="53" t="n">
        <f aca="false">COUNTIFS(Sourcing!$D$2:$D$60,$A10,Sourcing!$F$2:$F$60,"Sole source")</f>
        <v>1</v>
      </c>
      <c r="P10" s="33" t="n">
        <f aca="false">IFERROR(AVERAGEIF(Sourcing!$D$2:$D$60,$A10,Sourcing!$J$2:$J$60),0)</f>
        <v>9</v>
      </c>
      <c r="Q10" s="44" t="n">
        <f aca="false">INDEX(Spend!$M$5:$M$14,MATCH($A10,Spend!$A$5:$A$14,0))</f>
        <v>314.2475625</v>
      </c>
      <c r="R10" s="32" t="n">
        <f aca="false">IF(SUM($Q$2:$Q$11)=0,0,Q10/SUM($Q$2:$Q$11))</f>
        <v>0.0194484291645408</v>
      </c>
      <c r="S10" s="10" t="str">
        <f aca="false">IF(E10="India","Domestic","Import")</f>
        <v>Domestic</v>
      </c>
      <c r="T10" s="53" t="n">
        <f aca="false">(H10&lt;Assumptions!$B$15)+(O10&gt;0)+(S10="Import")+(L10&lt;Assumptions!$B$16)+(R10&gt;=Assumptions!$B$17)</f>
        <v>2</v>
      </c>
      <c r="U10" s="11" t="str">
        <f aca="false">IF(T10=0,"None",MID(IF(H10&lt;Assumptions!$B$15,"; Low on-time delivery","")&amp;IF(O10&gt;0,"; Sole source for "&amp;O10&amp;" material(s)","")&amp;IF(S10="Import","; Import / long lead time","")&amp;IF(L10&lt;Assumptions!$B$16,"; Weak financial score","")&amp;IF(R10&gt;=Assumptions!$B$17,"; High share of RM spend",""),3,200))</f>
        <v>Sole source for 1 material(s); Weak financial score</v>
      </c>
    </row>
    <row r="11" customFormat="false" ht="30" hidden="false" customHeight="true" outlineLevel="0" collapsed="false">
      <c r="A11" s="6" t="s">
        <v>421</v>
      </c>
      <c r="B11" s="7" t="s">
        <v>422</v>
      </c>
      <c r="C11" s="7" t="s">
        <v>423</v>
      </c>
      <c r="D11" s="7" t="s">
        <v>424</v>
      </c>
      <c r="E11" s="36" t="s">
        <v>374</v>
      </c>
      <c r="F11" s="7" t="s">
        <v>425</v>
      </c>
      <c r="G11" s="11" t="s">
        <v>426</v>
      </c>
      <c r="H11" s="54" t="n">
        <v>0.97</v>
      </c>
      <c r="I11" s="55" t="n">
        <v>1</v>
      </c>
      <c r="J11" s="54" t="n">
        <v>0.009</v>
      </c>
      <c r="K11" s="55" t="n">
        <v>1</v>
      </c>
      <c r="L11" s="39" t="n">
        <v>72</v>
      </c>
      <c r="M11" s="39" t="n">
        <v>60</v>
      </c>
      <c r="N11" s="53" t="n">
        <f aca="false">COUNTIF(Sourcing!$D$2:$D$60,$A11)</f>
        <v>1</v>
      </c>
      <c r="O11" s="53" t="n">
        <f aca="false">COUNTIFS(Sourcing!$D$2:$D$60,$A11,Sourcing!$F$2:$F$60,"Sole source")</f>
        <v>1</v>
      </c>
      <c r="P11" s="33" t="n">
        <f aca="false">IFERROR(AVERAGEIF(Sourcing!$D$2:$D$60,$A11,Sourcing!$J$2:$J$60),0)</f>
        <v>6</v>
      </c>
      <c r="Q11" s="44" t="n">
        <f aca="false">INDEX(Spend!$M$5:$M$14,MATCH($A11,Spend!$A$5:$A$14,0))</f>
        <v>795.325257731959</v>
      </c>
      <c r="R11" s="32" t="n">
        <f aca="false">IF(SUM($Q$2:$Q$11)=0,0,Q11/SUM($Q$2:$Q$11))</f>
        <v>0.0492217881173546</v>
      </c>
      <c r="S11" s="10" t="str">
        <f aca="false">IF(E11="India","Domestic","Import")</f>
        <v>Domestic</v>
      </c>
      <c r="T11" s="53" t="n">
        <f aca="false">(H11&lt;Assumptions!$B$15)+(O11&gt;0)+(S11="Import")+(L11&lt;Assumptions!$B$16)+(R11&gt;=Assumptions!$B$17)</f>
        <v>1</v>
      </c>
      <c r="U11" s="11" t="str">
        <f aca="false">IF(T11=0,"None",MID(IF(H11&lt;Assumptions!$B$15,"; Low on-time delivery","")&amp;IF(O11&gt;0,"; Sole source for "&amp;O11&amp;" material(s)","")&amp;IF(S11="Import","; Import / long lead time","")&amp;IF(L11&lt;Assumptions!$B$16,"; Weak financial score","")&amp;IF(R11&gt;=Assumptions!$B$17,"; High share of RM spend",""),3,200))</f>
        <v>Sole source for 1 material(s)</v>
      </c>
    </row>
    <row r="13" customFormat="false" ht="15" hidden="false" customHeight="false" outlineLevel="0" collapsed="false">
      <c r="A13" s="27" t="s">
        <v>427</v>
      </c>
    </row>
    <row r="14" customFormat="false" ht="15" hidden="false" customHeight="false" outlineLevel="0" collapsed="false">
      <c r="A14" s="27" t="s">
        <v>428</v>
      </c>
    </row>
  </sheetData>
  <autoFilter ref="A1:U11"/>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2"/>
    <col collapsed="false" customWidth="true" hidden="false" outlineLevel="0" max="4" min="4" style="0" width="10"/>
    <col collapsed="false" customWidth="true" hidden="false" outlineLevel="0" max="5" min="5" style="0" width="38"/>
    <col collapsed="false" customWidth="true" hidden="false" outlineLevel="0" max="9" min="6" style="0" width="12"/>
    <col collapsed="false" customWidth="true" hidden="false" outlineLevel="0" max="11" min="10" style="0" width="10"/>
    <col collapsed="false" customWidth="true" hidden="false" outlineLevel="0" max="12" min="12" style="0" width="13"/>
    <col collapsed="false" customWidth="true" hidden="false" outlineLevel="0" max="13" min="13" style="0" width="10"/>
    <col collapsed="false" customWidth="true" hidden="false" outlineLevel="0" max="15" min="14" style="0" width="14"/>
    <col collapsed="false" customWidth="true" hidden="false" outlineLevel="0" max="16" min="16" style="0" width="3"/>
    <col collapsed="false" customWidth="true" hidden="false" outlineLevel="0" max="17" min="17" style="0" width="70"/>
  </cols>
  <sheetData>
    <row r="1" customFormat="false" ht="48" hidden="false" customHeight="true" outlineLevel="0" collapsed="false">
      <c r="A1" s="8" t="s">
        <v>429</v>
      </c>
      <c r="B1" s="8" t="s">
        <v>258</v>
      </c>
      <c r="C1" s="8" t="s">
        <v>259</v>
      </c>
      <c r="D1" s="8" t="s">
        <v>350</v>
      </c>
      <c r="E1" s="8" t="s">
        <v>109</v>
      </c>
      <c r="F1" s="8" t="s">
        <v>430</v>
      </c>
      <c r="G1" s="8" t="s">
        <v>431</v>
      </c>
      <c r="H1" s="8" t="s">
        <v>432</v>
      </c>
      <c r="I1" s="8" t="s">
        <v>433</v>
      </c>
      <c r="J1" s="8" t="s">
        <v>434</v>
      </c>
      <c r="K1" s="8" t="s">
        <v>435</v>
      </c>
      <c r="L1" s="8" t="s">
        <v>436</v>
      </c>
      <c r="M1" s="8" t="s">
        <v>437</v>
      </c>
      <c r="N1" s="8" t="s">
        <v>438</v>
      </c>
      <c r="O1" s="8" t="s">
        <v>365</v>
      </c>
      <c r="Q1" s="8" t="s">
        <v>439</v>
      </c>
    </row>
    <row r="2" customFormat="false" ht="15" hidden="false" customHeight="true" outlineLevel="0" collapsed="false">
      <c r="A2" s="6" t="s">
        <v>440</v>
      </c>
      <c r="B2" s="42" t="s">
        <v>277</v>
      </c>
      <c r="C2" s="43" t="str">
        <f aca="false">INDEX(RawMaterials!$B$2:$B$11,MATCH($B2,RawMaterials!$A$2:$A$11,0))</f>
        <v>CRNGO Electrical Steel Coil</v>
      </c>
      <c r="D2" s="42" t="s">
        <v>370</v>
      </c>
      <c r="E2" s="43" t="str">
        <f aca="false">INDEX(Suppliers!$B$2:$B$11,MATCH($D2,Suppliers!$A$2:$A$11,0))</f>
        <v>Kalinga Electrical Steels Pvt Ltd</v>
      </c>
      <c r="F2" s="42" t="s">
        <v>441</v>
      </c>
      <c r="G2" s="41" t="n">
        <v>0.7</v>
      </c>
      <c r="H2" s="56" t="n">
        <v>91</v>
      </c>
      <c r="I2" s="33" t="n">
        <f aca="false">H2*(1+INDEX(RawMaterials!$H$2:$H$11,MATCH($B2,RawMaterials!$A$2:$A$11,0)))</f>
        <v>91</v>
      </c>
      <c r="J2" s="39" t="n">
        <v>21</v>
      </c>
      <c r="K2" s="39" t="n">
        <v>10000</v>
      </c>
      <c r="L2" s="36" t="s">
        <v>442</v>
      </c>
      <c r="M2" s="43" t="str">
        <f aca="false">INDEX(Suppliers!$E$2:$E$11,MATCH($D2,Suppliers!$A$2:$A$11,0))</f>
        <v>India</v>
      </c>
      <c r="N2" s="29" t="n">
        <f aca="false">G2*INDEX(MRP!$P$5:$P$14,MATCH($B2,MRP!$A$5:$A$14,0))</f>
        <v>940693.5</v>
      </c>
      <c r="O2" s="33" t="n">
        <f aca="false">N2*I2/Assumptions!$B$20</f>
        <v>856.031085</v>
      </c>
      <c r="Q2" s="57" t="s">
        <v>443</v>
      </c>
    </row>
    <row r="3" customFormat="false" ht="15" hidden="false" customHeight="false" outlineLevel="0" collapsed="false">
      <c r="A3" s="6" t="s">
        <v>444</v>
      </c>
      <c r="B3" s="42" t="s">
        <v>277</v>
      </c>
      <c r="C3" s="43" t="str">
        <f aca="false">INDEX(RawMaterials!$B$2:$B$11,MATCH($B3,RawMaterials!$A$2:$A$11,0))</f>
        <v>CRNGO Electrical Steel Coil</v>
      </c>
      <c r="D3" s="42" t="s">
        <v>377</v>
      </c>
      <c r="E3" s="43" t="str">
        <f aca="false">INDEX(Suppliers!$B$2:$B$11,MATCH($D3,Suppliers!$A$2:$A$11,0))</f>
        <v>Pune Coil Processing Pvt Ltd</v>
      </c>
      <c r="F3" s="42" t="s">
        <v>445</v>
      </c>
      <c r="G3" s="41" t="n">
        <v>0.3</v>
      </c>
      <c r="H3" s="56" t="n">
        <v>99</v>
      </c>
      <c r="I3" s="33" t="n">
        <f aca="false">H3*(1+INDEX(RawMaterials!$H$2:$H$11,MATCH($B3,RawMaterials!$A$2:$A$11,0)))</f>
        <v>99</v>
      </c>
      <c r="J3" s="39" t="n">
        <v>7</v>
      </c>
      <c r="K3" s="39" t="n">
        <v>2000</v>
      </c>
      <c r="L3" s="36" t="s">
        <v>446</v>
      </c>
      <c r="M3" s="43" t="str">
        <f aca="false">INDEX(Suppliers!$E$2:$E$11,MATCH($D3,Suppliers!$A$2:$A$11,0))</f>
        <v>India</v>
      </c>
      <c r="N3" s="29" t="n">
        <f aca="false">G3*INDEX(MRP!$P$5:$P$14,MATCH($B3,MRP!$A$5:$A$14,0))</f>
        <v>403154.357142857</v>
      </c>
      <c r="O3" s="33" t="n">
        <f aca="false">N3*I3/Assumptions!$B$20</f>
        <v>399.122813571429</v>
      </c>
      <c r="Q3" s="57"/>
    </row>
    <row r="4" customFormat="false" ht="15" hidden="false" customHeight="false" outlineLevel="0" collapsed="false">
      <c r="A4" s="6" t="s">
        <v>447</v>
      </c>
      <c r="B4" s="42" t="s">
        <v>286</v>
      </c>
      <c r="C4" s="43" t="str">
        <f aca="false">INDEX(RawMaterials!$B$2:$B$11,MATCH($B4,RawMaterials!$A$2:$A$11,0))</f>
        <v>CRCA Steel Sheet / Coil</v>
      </c>
      <c r="D4" s="42" t="s">
        <v>377</v>
      </c>
      <c r="E4" s="43" t="str">
        <f aca="false">INDEX(Suppliers!$B$2:$B$11,MATCH($D4,Suppliers!$A$2:$A$11,0))</f>
        <v>Pune Coil Processing Pvt Ltd</v>
      </c>
      <c r="F4" s="42" t="s">
        <v>441</v>
      </c>
      <c r="G4" s="41" t="n">
        <v>0.55</v>
      </c>
      <c r="H4" s="56" t="n">
        <v>68</v>
      </c>
      <c r="I4" s="33" t="n">
        <f aca="false">H4*(1+INDEX(RawMaterials!$H$2:$H$11,MATCH($B4,RawMaterials!$A$2:$A$11,0)))</f>
        <v>68</v>
      </c>
      <c r="J4" s="39" t="n">
        <v>5</v>
      </c>
      <c r="K4" s="39" t="n">
        <v>3000</v>
      </c>
      <c r="L4" s="36" t="s">
        <v>446</v>
      </c>
      <c r="M4" s="43" t="str">
        <f aca="false">INDEX(Suppliers!$E$2:$E$11,MATCH($D4,Suppliers!$A$2:$A$11,0))</f>
        <v>India</v>
      </c>
      <c r="N4" s="29" t="n">
        <f aca="false">G4*INDEX(MRP!$P$5:$P$14,MATCH($B4,MRP!$A$5:$A$14,0))</f>
        <v>1287553.23529412</v>
      </c>
      <c r="O4" s="33" t="n">
        <f aca="false">N4*I4/Assumptions!$B$20</f>
        <v>875.5362</v>
      </c>
      <c r="Q4" s="57"/>
    </row>
    <row r="5" customFormat="false" ht="15" hidden="false" customHeight="false" outlineLevel="0" collapsed="false">
      <c r="A5" s="6" t="s">
        <v>448</v>
      </c>
      <c r="B5" s="42" t="s">
        <v>286</v>
      </c>
      <c r="C5" s="43" t="str">
        <f aca="false">INDEX(RawMaterials!$B$2:$B$11,MATCH($B5,RawMaterials!$A$2:$A$11,0))</f>
        <v>CRCA Steel Sheet / Coil</v>
      </c>
      <c r="D5" s="42" t="s">
        <v>370</v>
      </c>
      <c r="E5" s="43" t="str">
        <f aca="false">INDEX(Suppliers!$B$2:$B$11,MATCH($D5,Suppliers!$A$2:$A$11,0))</f>
        <v>Kalinga Electrical Steels Pvt Ltd</v>
      </c>
      <c r="F5" s="42" t="s">
        <v>445</v>
      </c>
      <c r="G5" s="41" t="n">
        <v>0.45</v>
      </c>
      <c r="H5" s="56" t="n">
        <v>65</v>
      </c>
      <c r="I5" s="33" t="n">
        <f aca="false">H5*(1+INDEX(RawMaterials!$H$2:$H$11,MATCH($B5,RawMaterials!$A$2:$A$11,0)))</f>
        <v>65</v>
      </c>
      <c r="J5" s="39" t="n">
        <v>18</v>
      </c>
      <c r="K5" s="39" t="n">
        <v>15000</v>
      </c>
      <c r="L5" s="36" t="s">
        <v>442</v>
      </c>
      <c r="M5" s="43" t="str">
        <f aca="false">INDEX(Suppliers!$E$2:$E$11,MATCH($D5,Suppliers!$A$2:$A$11,0))</f>
        <v>India</v>
      </c>
      <c r="N5" s="29" t="n">
        <f aca="false">G5*INDEX(MRP!$P$5:$P$14,MATCH($B5,MRP!$A$5:$A$14,0))</f>
        <v>1053452.64705882</v>
      </c>
      <c r="O5" s="33" t="n">
        <f aca="false">N5*I5/Assumptions!$B$20</f>
        <v>684.744220588235</v>
      </c>
      <c r="Q5" s="57"/>
    </row>
    <row r="6" customFormat="false" ht="15" hidden="false" customHeight="false" outlineLevel="0" collapsed="false">
      <c r="A6" s="6" t="s">
        <v>449</v>
      </c>
      <c r="B6" s="42" t="s">
        <v>292</v>
      </c>
      <c r="C6" s="43" t="str">
        <f aca="false">INDEX(RawMaterials!$B$2:$B$11,MATCH($B6,RawMaterials!$A$2:$A$11,0))</f>
        <v>Aluminium Alloy Ingot (ADC12)</v>
      </c>
      <c r="D6" s="42" t="s">
        <v>383</v>
      </c>
      <c r="E6" s="43" t="str">
        <f aca="false">INDEX(Suppliers!$B$2:$B$11,MATCH($D6,Suppliers!$A$2:$A$11,0))</f>
        <v>Deccan Aluminium Alloys Ltd</v>
      </c>
      <c r="F6" s="42" t="s">
        <v>441</v>
      </c>
      <c r="G6" s="41" t="n">
        <v>0.65</v>
      </c>
      <c r="H6" s="56" t="n">
        <v>258</v>
      </c>
      <c r="I6" s="33" t="n">
        <f aca="false">H6*(1+INDEX(RawMaterials!$H$2:$H$11,MATCH($B6,RawMaterials!$A$2:$A$11,0)))</f>
        <v>258</v>
      </c>
      <c r="J6" s="39" t="n">
        <v>10</v>
      </c>
      <c r="K6" s="39" t="n">
        <v>5000</v>
      </c>
      <c r="L6" s="36" t="s">
        <v>446</v>
      </c>
      <c r="M6" s="43" t="str">
        <f aca="false">INDEX(Suppliers!$E$2:$E$11,MATCH($D6,Suppliers!$A$2:$A$11,0))</f>
        <v>India</v>
      </c>
      <c r="N6" s="29" t="n">
        <f aca="false">G6*INDEX(MRP!$P$5:$P$14,MATCH($B6,MRP!$A$5:$A$14,0))</f>
        <v>563373.369565217</v>
      </c>
      <c r="O6" s="33" t="n">
        <f aca="false">N6*I6/Assumptions!$B$20</f>
        <v>1453.50329347826</v>
      </c>
      <c r="Q6" s="57"/>
    </row>
    <row r="7" customFormat="false" ht="15" hidden="false" customHeight="false" outlineLevel="0" collapsed="false">
      <c r="A7" s="6" t="s">
        <v>450</v>
      </c>
      <c r="B7" s="42" t="s">
        <v>292</v>
      </c>
      <c r="C7" s="43" t="str">
        <f aca="false">INDEX(RawMaterials!$B$2:$B$11,MATCH($B7,RawMaterials!$A$2:$A$11,0))</f>
        <v>Aluminium Alloy Ingot (ADC12)</v>
      </c>
      <c r="D7" s="42" t="s">
        <v>389</v>
      </c>
      <c r="E7" s="43" t="str">
        <f aca="false">INDEX(Suppliers!$B$2:$B$11,MATCH($D7,Suppliers!$A$2:$A$11,0))</f>
        <v>Bharat Metal Traders</v>
      </c>
      <c r="F7" s="42" t="s">
        <v>445</v>
      </c>
      <c r="G7" s="41" t="n">
        <v>0.35</v>
      </c>
      <c r="H7" s="56" t="n">
        <v>268</v>
      </c>
      <c r="I7" s="33" t="n">
        <f aca="false">H7*(1+INDEX(RawMaterials!$H$2:$H$11,MATCH($B7,RawMaterials!$A$2:$A$11,0)))</f>
        <v>268</v>
      </c>
      <c r="J7" s="39" t="n">
        <v>4</v>
      </c>
      <c r="K7" s="39" t="n">
        <v>1000</v>
      </c>
      <c r="L7" s="36" t="s">
        <v>446</v>
      </c>
      <c r="M7" s="43" t="str">
        <f aca="false">INDEX(Suppliers!$E$2:$E$11,MATCH($D7,Suppliers!$A$2:$A$11,0))</f>
        <v>India</v>
      </c>
      <c r="N7" s="29" t="n">
        <f aca="false">G7*INDEX(MRP!$P$5:$P$14,MATCH($B7,MRP!$A$5:$A$14,0))</f>
        <v>303354.891304348</v>
      </c>
      <c r="O7" s="33" t="n">
        <f aca="false">N7*I7/Assumptions!$B$20</f>
        <v>812.991108695652</v>
      </c>
      <c r="Q7" s="57"/>
    </row>
    <row r="8" customFormat="false" ht="15" hidden="false" customHeight="false" outlineLevel="0" collapsed="false">
      <c r="A8" s="6" t="s">
        <v>451</v>
      </c>
      <c r="B8" s="42" t="s">
        <v>300</v>
      </c>
      <c r="C8" s="43" t="str">
        <f aca="false">INDEX(RawMaterials!$B$2:$B$11,MATCH($B8,RawMaterials!$A$2:$A$11,0))</f>
        <v>Enamelled Copper Winding Wire</v>
      </c>
      <c r="D8" s="42" t="s">
        <v>394</v>
      </c>
      <c r="E8" s="43" t="str">
        <f aca="false">INDEX(Suppliers!$B$2:$B$11,MATCH($D8,Suppliers!$A$2:$A$11,0))</f>
        <v>Vadodara Winding &amp; Resistance Wires Ltd</v>
      </c>
      <c r="F8" s="42" t="s">
        <v>441</v>
      </c>
      <c r="G8" s="41" t="n">
        <v>0.75</v>
      </c>
      <c r="H8" s="56" t="n">
        <v>1330</v>
      </c>
      <c r="I8" s="33" t="n">
        <f aca="false">H8*(1+INDEX(RawMaterials!$H$2:$H$11,MATCH($B8,RawMaterials!$A$2:$A$11,0)))</f>
        <v>1330</v>
      </c>
      <c r="J8" s="39" t="n">
        <v>12</v>
      </c>
      <c r="K8" s="39" t="n">
        <v>1000</v>
      </c>
      <c r="L8" s="36" t="s">
        <v>446</v>
      </c>
      <c r="M8" s="43" t="str">
        <f aca="false">INDEX(Suppliers!$E$2:$E$11,MATCH($D8,Suppliers!$A$2:$A$11,0))</f>
        <v>India</v>
      </c>
      <c r="N8" s="29" t="n">
        <f aca="false">G8*INDEX(MRP!$P$5:$P$14,MATCH($B8,MRP!$A$5:$A$14,0))</f>
        <v>374069.005102041</v>
      </c>
      <c r="O8" s="33" t="n">
        <f aca="false">N8*I8/Assumptions!$B$20</f>
        <v>4975.11776785714</v>
      </c>
      <c r="Q8" s="57"/>
    </row>
    <row r="9" customFormat="false" ht="15" hidden="false" customHeight="false" outlineLevel="0" collapsed="false">
      <c r="A9" s="6" t="s">
        <v>452</v>
      </c>
      <c r="B9" s="42" t="s">
        <v>300</v>
      </c>
      <c r="C9" s="43" t="str">
        <f aca="false">INDEX(RawMaterials!$B$2:$B$11,MATCH($B9,RawMaterials!$A$2:$A$11,0))</f>
        <v>Enamelled Copper Winding Wire</v>
      </c>
      <c r="D9" s="42" t="s">
        <v>400</v>
      </c>
      <c r="E9" s="43" t="str">
        <f aca="false">INDEX(Suppliers!$B$2:$B$11,MATCH($D9,Suppliers!$A$2:$A$11,0))</f>
        <v>Coimbatore Magnet Wires Pvt Ltd</v>
      </c>
      <c r="F9" s="42" t="s">
        <v>445</v>
      </c>
      <c r="G9" s="41" t="n">
        <v>0.25</v>
      </c>
      <c r="H9" s="56" t="n">
        <v>1355</v>
      </c>
      <c r="I9" s="33" t="n">
        <f aca="false">H9*(1+INDEX(RawMaterials!$H$2:$H$11,MATCH($B9,RawMaterials!$A$2:$A$11,0)))</f>
        <v>1355</v>
      </c>
      <c r="J9" s="39" t="n">
        <v>14</v>
      </c>
      <c r="K9" s="39" t="n">
        <v>500</v>
      </c>
      <c r="L9" s="36" t="s">
        <v>446</v>
      </c>
      <c r="M9" s="43" t="str">
        <f aca="false">INDEX(Suppliers!$E$2:$E$11,MATCH($D9,Suppliers!$A$2:$A$11,0))</f>
        <v>India</v>
      </c>
      <c r="N9" s="29" t="n">
        <f aca="false">G9*INDEX(MRP!$P$5:$P$14,MATCH($B9,MRP!$A$5:$A$14,0))</f>
        <v>124689.668367347</v>
      </c>
      <c r="O9" s="33" t="n">
        <f aca="false">N9*I9/Assumptions!$B$20</f>
        <v>1689.54500637755</v>
      </c>
      <c r="Q9" s="57"/>
    </row>
    <row r="10" customFormat="false" ht="15" hidden="false" customHeight="false" outlineLevel="0" collapsed="false">
      <c r="A10" s="6" t="s">
        <v>453</v>
      </c>
      <c r="B10" s="42" t="s">
        <v>306</v>
      </c>
      <c r="C10" s="43" t="str">
        <f aca="false">INDEX(RawMaterials!$B$2:$B$11,MATCH($B10,RawMaterials!$A$2:$A$11,0))</f>
        <v>Polypropylene (PP) Granules</v>
      </c>
      <c r="D10" s="42" t="s">
        <v>405</v>
      </c>
      <c r="E10" s="43" t="str">
        <f aca="false">INDEX(Suppliers!$B$2:$B$11,MATCH($D10,Suppliers!$A$2:$A$11,0))</f>
        <v>Mumbai Polymer Distribution Co.</v>
      </c>
      <c r="F10" s="42" t="s">
        <v>441</v>
      </c>
      <c r="G10" s="41" t="n">
        <v>0.8</v>
      </c>
      <c r="H10" s="56" t="n">
        <v>108</v>
      </c>
      <c r="I10" s="33" t="n">
        <f aca="false">H10*(1+INDEX(RawMaterials!$H$2:$H$11,MATCH($B10,RawMaterials!$A$2:$A$11,0)))</f>
        <v>108</v>
      </c>
      <c r="J10" s="39" t="n">
        <v>6</v>
      </c>
      <c r="K10" s="39" t="n">
        <v>5000</v>
      </c>
      <c r="L10" s="36" t="s">
        <v>446</v>
      </c>
      <c r="M10" s="43" t="str">
        <f aca="false">INDEX(Suppliers!$E$2:$E$11,MATCH($D10,Suppliers!$A$2:$A$11,0))</f>
        <v>India</v>
      </c>
      <c r="N10" s="29" t="n">
        <f aca="false">G10*INDEX(MRP!$P$5:$P$14,MATCH($B10,MRP!$A$5:$A$14,0))</f>
        <v>575255.257731959</v>
      </c>
      <c r="O10" s="33" t="n">
        <f aca="false">N10*I10/Assumptions!$B$20</f>
        <v>621.275678350516</v>
      </c>
      <c r="Q10" s="57"/>
    </row>
    <row r="11" customFormat="false" ht="15" hidden="false" customHeight="false" outlineLevel="0" collapsed="false">
      <c r="A11" s="6" t="s">
        <v>454</v>
      </c>
      <c r="B11" s="42" t="s">
        <v>306</v>
      </c>
      <c r="C11" s="43" t="str">
        <f aca="false">INDEX(RawMaterials!$B$2:$B$11,MATCH($B11,RawMaterials!$A$2:$A$11,0))</f>
        <v>Polypropylene (PP) Granules</v>
      </c>
      <c r="D11" s="42" t="s">
        <v>410</v>
      </c>
      <c r="E11" s="43" t="str">
        <f aca="false">INDEX(Suppliers!$B$2:$B$11,MATCH($D11,Suppliers!$A$2:$A$11,0))</f>
        <v>Pacific Engineering Plastics Co. Ltd</v>
      </c>
      <c r="F11" s="42" t="s">
        <v>445</v>
      </c>
      <c r="G11" s="41" t="n">
        <v>0.2</v>
      </c>
      <c r="H11" s="56" t="n">
        <v>103</v>
      </c>
      <c r="I11" s="33" t="n">
        <f aca="false">H11*(1+INDEX(RawMaterials!$H$2:$H$11,MATCH($B11,RawMaterials!$A$2:$A$11,0)))</f>
        <v>103</v>
      </c>
      <c r="J11" s="39" t="n">
        <v>38</v>
      </c>
      <c r="K11" s="39" t="n">
        <v>20000</v>
      </c>
      <c r="L11" s="36" t="s">
        <v>455</v>
      </c>
      <c r="M11" s="43" t="str">
        <f aca="false">INDEX(Suppliers!$E$2:$E$11,MATCH($D11,Suppliers!$A$2:$A$11,0))</f>
        <v>Taiwan</v>
      </c>
      <c r="N11" s="29" t="n">
        <f aca="false">G11*INDEX(MRP!$P$5:$P$14,MATCH($B11,MRP!$A$5:$A$14,0))</f>
        <v>143813.81443299</v>
      </c>
      <c r="O11" s="33" t="n">
        <f aca="false">N11*I11/Assumptions!$B$20</f>
        <v>148.128228865979</v>
      </c>
      <c r="Q11" s="57"/>
    </row>
    <row r="12" customFormat="false" ht="15" hidden="false" customHeight="false" outlineLevel="0" collapsed="false">
      <c r="A12" s="6" t="s">
        <v>456</v>
      </c>
      <c r="B12" s="42" t="s">
        <v>313</v>
      </c>
      <c r="C12" s="43" t="str">
        <f aca="false">INDEX(RawMaterials!$B$2:$B$11,MATCH($B12,RawMaterials!$A$2:$A$11,0))</f>
        <v>ABS Granules</v>
      </c>
      <c r="D12" s="42" t="s">
        <v>410</v>
      </c>
      <c r="E12" s="43" t="str">
        <f aca="false">INDEX(Suppliers!$B$2:$B$11,MATCH($D12,Suppliers!$A$2:$A$11,0))</f>
        <v>Pacific Engineering Plastics Co. Ltd</v>
      </c>
      <c r="F12" s="42" t="s">
        <v>441</v>
      </c>
      <c r="G12" s="41" t="n">
        <v>0.6</v>
      </c>
      <c r="H12" s="56" t="n">
        <v>152</v>
      </c>
      <c r="I12" s="33" t="n">
        <f aca="false">H12*(1+INDEX(RawMaterials!$H$2:$H$11,MATCH($B12,RawMaterials!$A$2:$A$11,0)))</f>
        <v>152</v>
      </c>
      <c r="J12" s="39" t="n">
        <v>38</v>
      </c>
      <c r="K12" s="39" t="n">
        <v>20000</v>
      </c>
      <c r="L12" s="36" t="s">
        <v>455</v>
      </c>
      <c r="M12" s="43" t="str">
        <f aca="false">INDEX(Suppliers!$E$2:$E$11,MATCH($D12,Suppliers!$A$2:$A$11,0))</f>
        <v>Taiwan</v>
      </c>
      <c r="N12" s="29" t="n">
        <f aca="false">G12*INDEX(MRP!$P$5:$P$14,MATCH($B12,MRP!$A$5:$A$14,0))</f>
        <v>412707.216494845</v>
      </c>
      <c r="O12" s="33" t="n">
        <f aca="false">N12*I12/Assumptions!$B$20</f>
        <v>627.314969072165</v>
      </c>
      <c r="Q12" s="57"/>
    </row>
    <row r="13" customFormat="false" ht="15" hidden="false" customHeight="false" outlineLevel="0" collapsed="false">
      <c r="A13" s="6" t="s">
        <v>457</v>
      </c>
      <c r="B13" s="42" t="s">
        <v>313</v>
      </c>
      <c r="C13" s="43" t="str">
        <f aca="false">INDEX(RawMaterials!$B$2:$B$11,MATCH($B13,RawMaterials!$A$2:$A$11,0))</f>
        <v>ABS Granules</v>
      </c>
      <c r="D13" s="42" t="s">
        <v>405</v>
      </c>
      <c r="E13" s="43" t="str">
        <f aca="false">INDEX(Suppliers!$B$2:$B$11,MATCH($D13,Suppliers!$A$2:$A$11,0))</f>
        <v>Mumbai Polymer Distribution Co.</v>
      </c>
      <c r="F13" s="42" t="s">
        <v>445</v>
      </c>
      <c r="G13" s="41" t="n">
        <v>0.4</v>
      </c>
      <c r="H13" s="56" t="n">
        <v>162</v>
      </c>
      <c r="I13" s="33" t="n">
        <f aca="false">H13*(1+INDEX(RawMaterials!$H$2:$H$11,MATCH($B13,RawMaterials!$A$2:$A$11,0)))</f>
        <v>162</v>
      </c>
      <c r="J13" s="39" t="n">
        <v>6</v>
      </c>
      <c r="K13" s="39" t="n">
        <v>2500</v>
      </c>
      <c r="L13" s="36" t="s">
        <v>446</v>
      </c>
      <c r="M13" s="43" t="str">
        <f aca="false">INDEX(Suppliers!$E$2:$E$11,MATCH($D13,Suppliers!$A$2:$A$11,0))</f>
        <v>India</v>
      </c>
      <c r="N13" s="29" t="n">
        <f aca="false">G13*INDEX(MRP!$P$5:$P$14,MATCH($B13,MRP!$A$5:$A$14,0))</f>
        <v>275138.144329897</v>
      </c>
      <c r="O13" s="33" t="n">
        <f aca="false">N13*I13/Assumptions!$B$20</f>
        <v>445.723793814433</v>
      </c>
      <c r="Q13" s="57"/>
    </row>
    <row r="14" customFormat="false" ht="15" hidden="false" customHeight="false" outlineLevel="0" collapsed="false">
      <c r="A14" s="6" t="s">
        <v>458</v>
      </c>
      <c r="B14" s="42" t="s">
        <v>319</v>
      </c>
      <c r="C14" s="43" t="str">
        <f aca="false">INDEX(RawMaterials!$B$2:$B$11,MATCH($B14,RawMaterials!$A$2:$A$11,0))</f>
        <v>Stainless Steel 304 Sheet</v>
      </c>
      <c r="D14" s="42" t="s">
        <v>377</v>
      </c>
      <c r="E14" s="43" t="str">
        <f aca="false">INDEX(Suppliers!$B$2:$B$11,MATCH($D14,Suppliers!$A$2:$A$11,0))</f>
        <v>Pune Coil Processing Pvt Ltd</v>
      </c>
      <c r="F14" s="42" t="s">
        <v>441</v>
      </c>
      <c r="G14" s="41" t="n">
        <v>0.55</v>
      </c>
      <c r="H14" s="56" t="n">
        <v>202</v>
      </c>
      <c r="I14" s="33" t="n">
        <f aca="false">H14*(1+INDEX(RawMaterials!$H$2:$H$11,MATCH($B14,RawMaterials!$A$2:$A$11,0)))</f>
        <v>202</v>
      </c>
      <c r="J14" s="39" t="n">
        <v>7</v>
      </c>
      <c r="K14" s="39" t="n">
        <v>1000</v>
      </c>
      <c r="L14" s="36" t="s">
        <v>446</v>
      </c>
      <c r="M14" s="43" t="str">
        <f aca="false">INDEX(Suppliers!$E$2:$E$11,MATCH($D14,Suppliers!$A$2:$A$11,0))</f>
        <v>India</v>
      </c>
      <c r="N14" s="29" t="n">
        <f aca="false">G14*INDEX(MRP!$P$5:$P$14,MATCH($B14,MRP!$A$5:$A$14,0))</f>
        <v>266597.073170732</v>
      </c>
      <c r="O14" s="33" t="n">
        <f aca="false">N14*I14/Assumptions!$B$20</f>
        <v>538.526087804878</v>
      </c>
      <c r="Q14" s="57"/>
    </row>
    <row r="15" customFormat="false" ht="15" hidden="false" customHeight="false" outlineLevel="0" collapsed="false">
      <c r="A15" s="6" t="s">
        <v>459</v>
      </c>
      <c r="B15" s="42" t="s">
        <v>319</v>
      </c>
      <c r="C15" s="43" t="str">
        <f aca="false">INDEX(RawMaterials!$B$2:$B$11,MATCH($B15,RawMaterials!$A$2:$A$11,0))</f>
        <v>Stainless Steel 304 Sheet</v>
      </c>
      <c r="D15" s="42" t="s">
        <v>389</v>
      </c>
      <c r="E15" s="43" t="str">
        <f aca="false">INDEX(Suppliers!$B$2:$B$11,MATCH($D15,Suppliers!$A$2:$A$11,0))</f>
        <v>Bharat Metal Traders</v>
      </c>
      <c r="F15" s="42" t="s">
        <v>445</v>
      </c>
      <c r="G15" s="41" t="n">
        <v>0.45</v>
      </c>
      <c r="H15" s="56" t="n">
        <v>212</v>
      </c>
      <c r="I15" s="33" t="n">
        <f aca="false">H15*(1+INDEX(RawMaterials!$H$2:$H$11,MATCH($B15,RawMaterials!$A$2:$A$11,0)))</f>
        <v>212</v>
      </c>
      <c r="J15" s="39" t="n">
        <v>3</v>
      </c>
      <c r="K15" s="39" t="n">
        <v>500</v>
      </c>
      <c r="L15" s="36" t="s">
        <v>446</v>
      </c>
      <c r="M15" s="43" t="str">
        <f aca="false">INDEX(Suppliers!$E$2:$E$11,MATCH($D15,Suppliers!$A$2:$A$11,0))</f>
        <v>India</v>
      </c>
      <c r="N15" s="29" t="n">
        <f aca="false">G15*INDEX(MRP!$P$5:$P$14,MATCH($B15,MRP!$A$5:$A$14,0))</f>
        <v>218124.878048781</v>
      </c>
      <c r="O15" s="33" t="n">
        <f aca="false">N15*I15/Assumptions!$B$20</f>
        <v>462.424741463415</v>
      </c>
      <c r="Q15" s="57"/>
    </row>
    <row r="16" customFormat="false" ht="15" hidden="false" customHeight="false" outlineLevel="0" collapsed="false">
      <c r="A16" s="6" t="s">
        <v>460</v>
      </c>
      <c r="B16" s="42" t="s">
        <v>326</v>
      </c>
      <c r="C16" s="43" t="str">
        <f aca="false">INDEX(RawMaterials!$B$2:$B$11,MATCH($B16,RawMaterials!$A$2:$A$11,0))</f>
        <v>Nichrome Resistance Wire (Ni80/Cr20)</v>
      </c>
      <c r="D16" s="42" t="s">
        <v>394</v>
      </c>
      <c r="E16" s="43" t="str">
        <f aca="false">INDEX(Suppliers!$B$2:$B$11,MATCH($D16,Suppliers!$A$2:$A$11,0))</f>
        <v>Vadodara Winding &amp; Resistance Wires Ltd</v>
      </c>
      <c r="F16" s="42" t="s">
        <v>441</v>
      </c>
      <c r="G16" s="41" t="n">
        <v>0.7</v>
      </c>
      <c r="H16" s="56" t="n">
        <v>2050</v>
      </c>
      <c r="I16" s="33" t="n">
        <f aca="false">H16*(1+INDEX(RawMaterials!$H$2:$H$11,MATCH($B16,RawMaterials!$A$2:$A$11,0)))</f>
        <v>2050</v>
      </c>
      <c r="J16" s="39" t="n">
        <v>15</v>
      </c>
      <c r="K16" s="39" t="n">
        <v>100</v>
      </c>
      <c r="L16" s="36" t="s">
        <v>446</v>
      </c>
      <c r="M16" s="43" t="str">
        <f aca="false">INDEX(Suppliers!$E$2:$E$11,MATCH($D16,Suppliers!$A$2:$A$11,0))</f>
        <v>India</v>
      </c>
      <c r="N16" s="29" t="n">
        <f aca="false">G16*INDEX(MRP!$P$5:$P$14,MATCH($B16,MRP!$A$5:$A$14,0))</f>
        <v>15428.0729166667</v>
      </c>
      <c r="O16" s="33" t="n">
        <f aca="false">N16*I16/Assumptions!$B$20</f>
        <v>316.275494791667</v>
      </c>
      <c r="Q16" s="57"/>
    </row>
    <row r="17" customFormat="false" ht="15" hidden="false" customHeight="false" outlineLevel="0" collapsed="false">
      <c r="A17" s="6" t="s">
        <v>461</v>
      </c>
      <c r="B17" s="42" t="s">
        <v>326</v>
      </c>
      <c r="C17" s="43" t="str">
        <f aca="false">INDEX(RawMaterials!$B$2:$B$11,MATCH($B17,RawMaterials!$A$2:$A$11,0))</f>
        <v>Nichrome Resistance Wire (Ni80/Cr20)</v>
      </c>
      <c r="D17" s="42" t="s">
        <v>389</v>
      </c>
      <c r="E17" s="43" t="str">
        <f aca="false">INDEX(Suppliers!$B$2:$B$11,MATCH($D17,Suppliers!$A$2:$A$11,0))</f>
        <v>Bharat Metal Traders</v>
      </c>
      <c r="F17" s="42" t="s">
        <v>445</v>
      </c>
      <c r="G17" s="41" t="n">
        <v>0.3</v>
      </c>
      <c r="H17" s="56" t="n">
        <v>2150</v>
      </c>
      <c r="I17" s="33" t="n">
        <f aca="false">H17*(1+INDEX(RawMaterials!$H$2:$H$11,MATCH($B17,RawMaterials!$A$2:$A$11,0)))</f>
        <v>2150</v>
      </c>
      <c r="J17" s="39" t="n">
        <v>6</v>
      </c>
      <c r="K17" s="39" t="n">
        <v>50</v>
      </c>
      <c r="L17" s="36" t="s">
        <v>446</v>
      </c>
      <c r="M17" s="43" t="str">
        <f aca="false">INDEX(Suppliers!$E$2:$E$11,MATCH($D17,Suppliers!$A$2:$A$11,0))</f>
        <v>India</v>
      </c>
      <c r="N17" s="29" t="n">
        <f aca="false">G17*INDEX(MRP!$P$5:$P$14,MATCH($B17,MRP!$A$5:$A$14,0))</f>
        <v>6612.03125</v>
      </c>
      <c r="O17" s="33" t="n">
        <f aca="false">N17*I17/Assumptions!$B$20</f>
        <v>142.158671875</v>
      </c>
      <c r="Q17" s="57"/>
    </row>
    <row r="18" customFormat="false" ht="15" hidden="false" customHeight="false" outlineLevel="0" collapsed="false">
      <c r="A18" s="6" t="s">
        <v>462</v>
      </c>
      <c r="B18" s="42" t="s">
        <v>333</v>
      </c>
      <c r="C18" s="43" t="str">
        <f aca="false">INDEX(RawMaterials!$B$2:$B$11,MATCH($B18,RawMaterials!$A$2:$A$11,0))</f>
        <v>Powder Coating (Epoxy-Polyester)</v>
      </c>
      <c r="D18" s="42" t="s">
        <v>416</v>
      </c>
      <c r="E18" s="43" t="str">
        <f aca="false">INDEX(Suppliers!$B$2:$B$11,MATCH($D18,Suppliers!$A$2:$A$11,0))</f>
        <v>Ahmedabad Coatings &amp; Powders Pvt Ltd</v>
      </c>
      <c r="F18" s="42" t="s">
        <v>463</v>
      </c>
      <c r="G18" s="41" t="n">
        <v>1</v>
      </c>
      <c r="H18" s="56" t="n">
        <v>345</v>
      </c>
      <c r="I18" s="33" t="n">
        <f aca="false">H18*(1+INDEX(RawMaterials!$H$2:$H$11,MATCH($B18,RawMaterials!$A$2:$A$11,0)))</f>
        <v>345</v>
      </c>
      <c r="J18" s="39" t="n">
        <v>9</v>
      </c>
      <c r="K18" s="39" t="n">
        <v>500</v>
      </c>
      <c r="L18" s="36" t="s">
        <v>446</v>
      </c>
      <c r="M18" s="43" t="str">
        <f aca="false">INDEX(Suppliers!$E$2:$E$11,MATCH($D18,Suppliers!$A$2:$A$11,0))</f>
        <v>India</v>
      </c>
      <c r="N18" s="29" t="n">
        <f aca="false">G18*INDEX(MRP!$P$5:$P$14,MATCH($B18,MRP!$A$5:$A$14,0))</f>
        <v>91086.25</v>
      </c>
      <c r="O18" s="33" t="n">
        <f aca="false">N18*I18/Assumptions!$B$20</f>
        <v>314.2475625</v>
      </c>
      <c r="Q18" s="57"/>
    </row>
    <row r="19" customFormat="false" ht="15" hidden="false" customHeight="false" outlineLevel="0" collapsed="false">
      <c r="A19" s="6" t="s">
        <v>464</v>
      </c>
      <c r="B19" s="42" t="s">
        <v>340</v>
      </c>
      <c r="C19" s="43" t="str">
        <f aca="false">INDEX(RawMaterials!$B$2:$B$11,MATCH($B19,RawMaterials!$A$2:$A$11,0))</f>
        <v>Corrugated Board / Cartons</v>
      </c>
      <c r="D19" s="42" t="s">
        <v>421</v>
      </c>
      <c r="E19" s="43" t="str">
        <f aca="false">INDEX(Suppliers!$B$2:$B$11,MATCH($D19,Suppliers!$A$2:$A$11,0))</f>
        <v>Bhiwandi Packaging Industries</v>
      </c>
      <c r="F19" s="42" t="s">
        <v>463</v>
      </c>
      <c r="G19" s="41" t="n">
        <v>1</v>
      </c>
      <c r="H19" s="56" t="n">
        <v>52</v>
      </c>
      <c r="I19" s="33" t="n">
        <f aca="false">H19*(1+INDEX(RawMaterials!$H$2:$H$11,MATCH($B19,RawMaterials!$A$2:$A$11,0)))</f>
        <v>52</v>
      </c>
      <c r="J19" s="39" t="n">
        <v>6</v>
      </c>
      <c r="K19" s="39" t="n">
        <v>2000</v>
      </c>
      <c r="L19" s="36" t="s">
        <v>446</v>
      </c>
      <c r="M19" s="43" t="str">
        <f aca="false">INDEX(Suppliers!$E$2:$E$11,MATCH($D19,Suppliers!$A$2:$A$11,0))</f>
        <v>India</v>
      </c>
      <c r="N19" s="29" t="n">
        <f aca="false">G19*INDEX(MRP!$P$5:$P$14,MATCH($B19,MRP!$A$5:$A$14,0))</f>
        <v>1529471.64948454</v>
      </c>
      <c r="O19" s="33" t="n">
        <f aca="false">N19*I19/Assumptions!$B$20</f>
        <v>795.325257731959</v>
      </c>
      <c r="Q19" s="57"/>
    </row>
  </sheetData>
  <autoFilter ref="A1:O19"/>
  <mergeCells count="1">
    <mergeCell ref="Q2:Q19"/>
  </mergeCells>
  <dataValidations count="1">
    <dataValidation allowBlank="true" error="Pick a value from the list" errorStyle="stop" operator="between" showDropDown="false" showErrorMessage="false" showInputMessage="false" sqref="F2:F19" type="list">
      <formula1>"Primary,Secondary,Sole source"</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O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4"/>
    <col collapsed="false" customWidth="true" hidden="false" outlineLevel="0" max="4" min="4" style="0" width="26"/>
    <col collapsed="false" customWidth="true" hidden="false" outlineLevel="0" max="5" min="5" style="0" width="8"/>
    <col collapsed="false" customWidth="true" hidden="false" outlineLevel="0" max="6" min="6" style="0" width="34"/>
    <col collapsed="false" customWidth="true" hidden="false" outlineLevel="0" max="7" min="7" style="0" width="12"/>
    <col collapsed="false" customWidth="true" hidden="false" outlineLevel="0" max="8" min="8" style="0" width="9"/>
    <col collapsed="false" customWidth="true" hidden="false" outlineLevel="0" max="9" min="9" style="0" width="14"/>
    <col collapsed="false" customWidth="true" hidden="false" outlineLevel="0" max="11" min="10" style="0" width="12"/>
    <col collapsed="false" customWidth="true" hidden="false" outlineLevel="0" max="13" min="12" style="0" width="13"/>
    <col collapsed="false" customWidth="true" hidden="false" outlineLevel="0" max="14" min="14" style="0" width="3"/>
    <col collapsed="false" customWidth="true" hidden="false" outlineLevel="0" max="15" min="15" style="0" width="70"/>
  </cols>
  <sheetData>
    <row r="1" customFormat="false" ht="48" hidden="false" customHeight="true" outlineLevel="0" collapsed="false">
      <c r="A1" s="8" t="s">
        <v>465</v>
      </c>
      <c r="B1" s="8" t="s">
        <v>172</v>
      </c>
      <c r="C1" s="8" t="s">
        <v>118</v>
      </c>
      <c r="D1" s="8" t="s">
        <v>466</v>
      </c>
      <c r="E1" s="8" t="s">
        <v>258</v>
      </c>
      <c r="F1" s="8" t="s">
        <v>259</v>
      </c>
      <c r="G1" s="8" t="s">
        <v>467</v>
      </c>
      <c r="H1" s="8" t="s">
        <v>468</v>
      </c>
      <c r="I1" s="8" t="s">
        <v>469</v>
      </c>
      <c r="J1" s="8" t="s">
        <v>470</v>
      </c>
      <c r="K1" s="8" t="s">
        <v>471</v>
      </c>
      <c r="L1" s="8" t="s">
        <v>472</v>
      </c>
      <c r="M1" s="8" t="s">
        <v>473</v>
      </c>
      <c r="O1" s="8" t="s">
        <v>439</v>
      </c>
    </row>
    <row r="2" customFormat="false" ht="15" hidden="false" customHeight="true" outlineLevel="0" collapsed="false">
      <c r="A2" s="7" t="s">
        <v>474</v>
      </c>
      <c r="B2" s="42" t="s">
        <v>191</v>
      </c>
      <c r="C2" s="43" t="str">
        <f aca="false">INDEX(Products!$B$2:$B$16,MATCH($B2,Products!$A$2:$A$16,0))</f>
        <v>Ceiling Fan 1200 mm - Induction</v>
      </c>
      <c r="D2" s="36" t="s">
        <v>475</v>
      </c>
      <c r="E2" s="42" t="s">
        <v>277</v>
      </c>
      <c r="F2" s="43" t="str">
        <f aca="false">INDEX(RawMaterials!$B$2:$B$11,MATCH($E2,RawMaterials!$A$2:$A$11,0))</f>
        <v>CRNGO Electrical Steel Coil</v>
      </c>
      <c r="G2" s="58" t="n">
        <v>0.85</v>
      </c>
      <c r="H2" s="59" t="n">
        <f aca="false">INDEX(RawMaterials!$I$2:$I$11,MATCH($E2,RawMaterials!$A$2:$A$11,0))</f>
        <v>0.7</v>
      </c>
      <c r="I2" s="60" t="n">
        <f aca="false">G2/H2</f>
        <v>1.21428571428571</v>
      </c>
      <c r="J2" s="44" t="n">
        <f aca="false">INDEX(RawMaterials!$G$2:$G$11,MATCH($E2,RawMaterials!$A$2:$A$11,0))</f>
        <v>93.4</v>
      </c>
      <c r="K2" s="61" t="n">
        <f aca="false">I2*J2</f>
        <v>113.414285714286</v>
      </c>
      <c r="L2" s="60" t="n">
        <f aca="false">I2-G2</f>
        <v>0.364285714285714</v>
      </c>
      <c r="M2" s="32" t="n">
        <f aca="false">IF(SUMIFS($K$2:$K$400,$B$2:$B$400,$B2)=0,0,K2/SUMIFS($K$2:$K$400,$B$2:$B$400,$B2))</f>
        <v>0.106234599442711</v>
      </c>
      <c r="O2" s="57" t="s">
        <v>476</v>
      </c>
    </row>
    <row r="3" customFormat="false" ht="15" hidden="false" customHeight="false" outlineLevel="0" collapsed="false">
      <c r="A3" s="7" t="s">
        <v>477</v>
      </c>
      <c r="B3" s="42" t="s">
        <v>191</v>
      </c>
      <c r="C3" s="43" t="str">
        <f aca="false">INDEX(Products!$B$2:$B$16,MATCH($B3,Products!$A$2:$A$16,0))</f>
        <v>Ceiling Fan 1200 mm - Induction</v>
      </c>
      <c r="D3" s="36" t="s">
        <v>475</v>
      </c>
      <c r="E3" s="42" t="s">
        <v>300</v>
      </c>
      <c r="F3" s="43" t="str">
        <f aca="false">INDEX(RawMaterials!$B$2:$B$11,MATCH($E3,RawMaterials!$A$2:$A$11,0))</f>
        <v>Enamelled Copper Winding Wire</v>
      </c>
      <c r="G3" s="58" t="n">
        <v>0.42</v>
      </c>
      <c r="H3" s="59" t="n">
        <f aca="false">INDEX(RawMaterials!$I$2:$I$11,MATCH($E3,RawMaterials!$A$2:$A$11,0))</f>
        <v>0.98</v>
      </c>
      <c r="I3" s="60" t="n">
        <f aca="false">G3/H3</f>
        <v>0.428571428571429</v>
      </c>
      <c r="J3" s="44" t="n">
        <f aca="false">INDEX(RawMaterials!$G$2:$G$11,MATCH($E3,RawMaterials!$A$2:$A$11,0))</f>
        <v>1336.25</v>
      </c>
      <c r="K3" s="61" t="n">
        <f aca="false">I3*J3</f>
        <v>572.678571428571</v>
      </c>
      <c r="L3" s="60" t="n">
        <f aca="false">I3-G3</f>
        <v>0.00857142857142856</v>
      </c>
      <c r="M3" s="32" t="n">
        <f aca="false">IF(SUMIFS($K$2:$K$400,$B$2:$B$400,$B3)=0,0,K3/SUMIFS($K$2:$K$400,$B$2:$B$400,$B3))</f>
        <v>0.536425180143552</v>
      </c>
      <c r="O3" s="57"/>
    </row>
    <row r="4" customFormat="false" ht="15" hidden="false" customHeight="false" outlineLevel="0" collapsed="false">
      <c r="A4" s="7" t="s">
        <v>478</v>
      </c>
      <c r="B4" s="42" t="s">
        <v>191</v>
      </c>
      <c r="C4" s="43" t="str">
        <f aca="false">INDEX(Products!$B$2:$B$16,MATCH($B4,Products!$A$2:$A$16,0))</f>
        <v>Ceiling Fan 1200 mm - Induction</v>
      </c>
      <c r="D4" s="36" t="s">
        <v>475</v>
      </c>
      <c r="E4" s="42" t="s">
        <v>292</v>
      </c>
      <c r="F4" s="43" t="str">
        <f aca="false">INDEX(RawMaterials!$B$2:$B$11,MATCH($E4,RawMaterials!$A$2:$A$11,0))</f>
        <v>Aluminium Alloy Ingot (ADC12)</v>
      </c>
      <c r="G4" s="58" t="n">
        <v>0.5</v>
      </c>
      <c r="H4" s="59" t="n">
        <f aca="false">INDEX(RawMaterials!$I$2:$I$11,MATCH($E4,RawMaterials!$A$2:$A$11,0))</f>
        <v>0.92</v>
      </c>
      <c r="I4" s="60" t="n">
        <f aca="false">G4/H4</f>
        <v>0.543478260869565</v>
      </c>
      <c r="J4" s="44" t="n">
        <f aca="false">INDEX(RawMaterials!$G$2:$G$11,MATCH($E4,RawMaterials!$A$2:$A$11,0))</f>
        <v>261.5</v>
      </c>
      <c r="K4" s="61" t="n">
        <f aca="false">I4*J4</f>
        <v>142.119565217391</v>
      </c>
      <c r="L4" s="60" t="n">
        <f aca="false">I4-G4</f>
        <v>0.0434782608695652</v>
      </c>
      <c r="M4" s="32" t="n">
        <f aca="false">IF(SUMIFS($K$2:$K$400,$B$2:$B$400,$B4)=0,0,K4/SUMIFS($K$2:$K$400,$B$2:$B$400,$B4))</f>
        <v>0.133122692514035</v>
      </c>
      <c r="O4" s="57"/>
    </row>
    <row r="5" customFormat="false" ht="15" hidden="false" customHeight="false" outlineLevel="0" collapsed="false">
      <c r="A5" s="7" t="s">
        <v>479</v>
      </c>
      <c r="B5" s="42" t="s">
        <v>191</v>
      </c>
      <c r="C5" s="43" t="str">
        <f aca="false">INDEX(Products!$B$2:$B$16,MATCH($B5,Products!$A$2:$A$16,0))</f>
        <v>Ceiling Fan 1200 mm - Induction</v>
      </c>
      <c r="D5" s="36" t="s">
        <v>480</v>
      </c>
      <c r="E5" s="42" t="s">
        <v>286</v>
      </c>
      <c r="F5" s="43" t="str">
        <f aca="false">INDEX(RawMaterials!$B$2:$B$11,MATCH($E5,RawMaterials!$A$2:$A$11,0))</f>
        <v>CRCA Steel Sheet / Coil</v>
      </c>
      <c r="G5" s="58" t="n">
        <v>2.1</v>
      </c>
      <c r="H5" s="59" t="n">
        <f aca="false">INDEX(RawMaterials!$I$2:$I$11,MATCH($E5,RawMaterials!$A$2:$A$11,0))</f>
        <v>0.85</v>
      </c>
      <c r="I5" s="60" t="n">
        <f aca="false">G5/H5</f>
        <v>2.47058823529412</v>
      </c>
      <c r="J5" s="44" t="n">
        <f aca="false">INDEX(RawMaterials!$G$2:$G$11,MATCH($E5,RawMaterials!$A$2:$A$11,0))</f>
        <v>66.65</v>
      </c>
      <c r="K5" s="61" t="n">
        <f aca="false">I5*J5</f>
        <v>164.664705882353</v>
      </c>
      <c r="L5" s="60" t="n">
        <f aca="false">I5-G5</f>
        <v>0.370588235294118</v>
      </c>
      <c r="M5" s="32" t="n">
        <f aca="false">IF(SUMIFS($K$2:$K$400,$B$2:$B$400,$B5)=0,0,K5/SUMIFS($K$2:$K$400,$B$2:$B$400,$B5))</f>
        <v>0.154240614060139</v>
      </c>
      <c r="O5" s="57"/>
    </row>
    <row r="6" customFormat="false" ht="15" hidden="false" customHeight="false" outlineLevel="0" collapsed="false">
      <c r="A6" s="7" t="s">
        <v>481</v>
      </c>
      <c r="B6" s="42" t="s">
        <v>191</v>
      </c>
      <c r="C6" s="43" t="str">
        <f aca="false">INDEX(Products!$B$2:$B$16,MATCH($B6,Products!$A$2:$A$16,0))</f>
        <v>Ceiling Fan 1200 mm - Induction</v>
      </c>
      <c r="D6" s="36" t="s">
        <v>482</v>
      </c>
      <c r="E6" s="42" t="s">
        <v>333</v>
      </c>
      <c r="F6" s="43" t="str">
        <f aca="false">INDEX(RawMaterials!$B$2:$B$11,MATCH($E6,RawMaterials!$A$2:$A$11,0))</f>
        <v>Powder Coating (Epoxy-Polyester)</v>
      </c>
      <c r="G6" s="58" t="n">
        <v>0.08</v>
      </c>
      <c r="H6" s="59" t="n">
        <f aca="false">INDEX(RawMaterials!$I$2:$I$11,MATCH($E6,RawMaterials!$A$2:$A$11,0))</f>
        <v>0.8</v>
      </c>
      <c r="I6" s="60" t="n">
        <f aca="false">G6/H6</f>
        <v>0.1</v>
      </c>
      <c r="J6" s="44" t="n">
        <f aca="false">INDEX(RawMaterials!$G$2:$G$11,MATCH($E6,RawMaterials!$A$2:$A$11,0))</f>
        <v>345</v>
      </c>
      <c r="K6" s="61" t="n">
        <f aca="false">I6*J6</f>
        <v>34.5</v>
      </c>
      <c r="L6" s="60" t="n">
        <f aca="false">I6-G6</f>
        <v>0.02</v>
      </c>
      <c r="M6" s="32" t="n">
        <f aca="false">IF(SUMIFS($K$2:$K$400,$B$2:$B$400,$B6)=0,0,K6/SUMIFS($K$2:$K$400,$B$2:$B$400,$B6))</f>
        <v>0.0323159790470017</v>
      </c>
      <c r="O6" s="57"/>
    </row>
    <row r="7" customFormat="false" ht="15" hidden="false" customHeight="false" outlineLevel="0" collapsed="false">
      <c r="A7" s="7" t="s">
        <v>483</v>
      </c>
      <c r="B7" s="42" t="s">
        <v>191</v>
      </c>
      <c r="C7" s="43" t="str">
        <f aca="false">INDEX(Products!$B$2:$B$16,MATCH($B7,Products!$A$2:$A$16,0))</f>
        <v>Ceiling Fan 1200 mm - Induction</v>
      </c>
      <c r="D7" s="36" t="s">
        <v>344</v>
      </c>
      <c r="E7" s="42" t="s">
        <v>340</v>
      </c>
      <c r="F7" s="43" t="str">
        <f aca="false">INDEX(RawMaterials!$B$2:$B$11,MATCH($E7,RawMaterials!$A$2:$A$11,0))</f>
        <v>Corrugated Board / Cartons</v>
      </c>
      <c r="G7" s="58" t="n">
        <v>0.75</v>
      </c>
      <c r="H7" s="59" t="n">
        <f aca="false">INDEX(RawMaterials!$I$2:$I$11,MATCH($E7,RawMaterials!$A$2:$A$11,0))</f>
        <v>0.97</v>
      </c>
      <c r="I7" s="60" t="n">
        <f aca="false">G7/H7</f>
        <v>0.77319587628866</v>
      </c>
      <c r="J7" s="44" t="n">
        <f aca="false">INDEX(RawMaterials!$G$2:$G$11,MATCH($E7,RawMaterials!$A$2:$A$11,0))</f>
        <v>52</v>
      </c>
      <c r="K7" s="61" t="n">
        <f aca="false">I7*J7</f>
        <v>40.2061855670103</v>
      </c>
      <c r="L7" s="60" t="n">
        <f aca="false">I7-G7</f>
        <v>0.0231958762886598</v>
      </c>
      <c r="M7" s="32" t="n">
        <f aca="false">IF(SUMIFS($K$2:$K$400,$B$2:$B$400,$B7)=0,0,K7/SUMIFS($K$2:$K$400,$B$2:$B$400,$B7))</f>
        <v>0.0376609347925613</v>
      </c>
      <c r="O7" s="57"/>
    </row>
    <row r="8" customFormat="false" ht="15" hidden="false" customHeight="false" outlineLevel="0" collapsed="false">
      <c r="A8" s="7" t="s">
        <v>484</v>
      </c>
      <c r="B8" s="42" t="s">
        <v>197</v>
      </c>
      <c r="C8" s="43" t="str">
        <f aca="false">INDEX(Products!$B$2:$B$16,MATCH($B8,Products!$A$2:$A$16,0))</f>
        <v>Ceiling Fan 1200 mm - BLDC</v>
      </c>
      <c r="D8" s="36" t="s">
        <v>475</v>
      </c>
      <c r="E8" s="42" t="s">
        <v>277</v>
      </c>
      <c r="F8" s="43" t="str">
        <f aca="false">INDEX(RawMaterials!$B$2:$B$11,MATCH($E8,RawMaterials!$A$2:$A$11,0))</f>
        <v>CRNGO Electrical Steel Coil</v>
      </c>
      <c r="G8" s="58" t="n">
        <v>0.62</v>
      </c>
      <c r="H8" s="59" t="n">
        <f aca="false">INDEX(RawMaterials!$I$2:$I$11,MATCH($E8,RawMaterials!$A$2:$A$11,0))</f>
        <v>0.7</v>
      </c>
      <c r="I8" s="60" t="n">
        <f aca="false">G8/H8</f>
        <v>0.885714285714286</v>
      </c>
      <c r="J8" s="44" t="n">
        <f aca="false">INDEX(RawMaterials!$G$2:$G$11,MATCH($E8,RawMaterials!$A$2:$A$11,0))</f>
        <v>93.4</v>
      </c>
      <c r="K8" s="61" t="n">
        <f aca="false">I8*J8</f>
        <v>82.7257142857143</v>
      </c>
      <c r="L8" s="60" t="n">
        <f aca="false">I8-G8</f>
        <v>0.265714285714286</v>
      </c>
      <c r="M8" s="32" t="n">
        <f aca="false">IF(SUMIFS($K$2:$K$400,$B$2:$B$400,$B8)=0,0,K8/SUMIFS($K$2:$K$400,$B$2:$B$400,$B8))</f>
        <v>0.0946039756084113</v>
      </c>
      <c r="O8" s="57"/>
    </row>
    <row r="9" customFormat="false" ht="15" hidden="false" customHeight="false" outlineLevel="0" collapsed="false">
      <c r="A9" s="7" t="s">
        <v>485</v>
      </c>
      <c r="B9" s="42" t="s">
        <v>197</v>
      </c>
      <c r="C9" s="43" t="str">
        <f aca="false">INDEX(Products!$B$2:$B$16,MATCH($B9,Products!$A$2:$A$16,0))</f>
        <v>Ceiling Fan 1200 mm - BLDC</v>
      </c>
      <c r="D9" s="36" t="s">
        <v>475</v>
      </c>
      <c r="E9" s="42" t="s">
        <v>300</v>
      </c>
      <c r="F9" s="43" t="str">
        <f aca="false">INDEX(RawMaterials!$B$2:$B$11,MATCH($E9,RawMaterials!$A$2:$A$11,0))</f>
        <v>Enamelled Copper Winding Wire</v>
      </c>
      <c r="G9" s="58" t="n">
        <v>0.33</v>
      </c>
      <c r="H9" s="59" t="n">
        <f aca="false">INDEX(RawMaterials!$I$2:$I$11,MATCH($E9,RawMaterials!$A$2:$A$11,0))</f>
        <v>0.98</v>
      </c>
      <c r="I9" s="60" t="n">
        <f aca="false">G9/H9</f>
        <v>0.336734693877551</v>
      </c>
      <c r="J9" s="44" t="n">
        <f aca="false">INDEX(RawMaterials!$G$2:$G$11,MATCH($E9,RawMaterials!$A$2:$A$11,0))</f>
        <v>1336.25</v>
      </c>
      <c r="K9" s="61" t="n">
        <f aca="false">I9*J9</f>
        <v>449.961734693878</v>
      </c>
      <c r="L9" s="60" t="n">
        <f aca="false">I9-G9</f>
        <v>0.00673469387755105</v>
      </c>
      <c r="M9" s="32" t="n">
        <f aca="false">IF(SUMIFS($K$2:$K$400,$B$2:$B$400,$B9)=0,0,K9/SUMIFS($K$2:$K$400,$B$2:$B$400,$B9))</f>
        <v>0.514569977923406</v>
      </c>
      <c r="O9" s="57"/>
    </row>
    <row r="10" customFormat="false" ht="15" hidden="false" customHeight="false" outlineLevel="0" collapsed="false">
      <c r="A10" s="7" t="s">
        <v>486</v>
      </c>
      <c r="B10" s="42" t="s">
        <v>197</v>
      </c>
      <c r="C10" s="43" t="str">
        <f aca="false">INDEX(Products!$B$2:$B$16,MATCH($B10,Products!$A$2:$A$16,0))</f>
        <v>Ceiling Fan 1200 mm - BLDC</v>
      </c>
      <c r="D10" s="36" t="s">
        <v>475</v>
      </c>
      <c r="E10" s="42" t="s">
        <v>292</v>
      </c>
      <c r="F10" s="43" t="str">
        <f aca="false">INDEX(RawMaterials!$B$2:$B$11,MATCH($E10,RawMaterials!$A$2:$A$11,0))</f>
        <v>Aluminium Alloy Ingot (ADC12)</v>
      </c>
      <c r="G10" s="58" t="n">
        <v>0.45</v>
      </c>
      <c r="H10" s="59" t="n">
        <f aca="false">INDEX(RawMaterials!$I$2:$I$11,MATCH($E10,RawMaterials!$A$2:$A$11,0))</f>
        <v>0.92</v>
      </c>
      <c r="I10" s="60" t="n">
        <f aca="false">G10/H10</f>
        <v>0.489130434782609</v>
      </c>
      <c r="J10" s="44" t="n">
        <f aca="false">INDEX(RawMaterials!$G$2:$G$11,MATCH($E10,RawMaterials!$A$2:$A$11,0))</f>
        <v>261.5</v>
      </c>
      <c r="K10" s="61" t="n">
        <f aca="false">I10*J10</f>
        <v>127.907608695652</v>
      </c>
      <c r="L10" s="60" t="n">
        <f aca="false">I10-G10</f>
        <v>0.0391304347826087</v>
      </c>
      <c r="M10" s="32" t="n">
        <f aca="false">IF(SUMIFS($K$2:$K$400,$B$2:$B$400,$B10)=0,0,K10/SUMIFS($K$2:$K$400,$B$2:$B$400,$B10))</f>
        <v>0.146273361283788</v>
      </c>
      <c r="O10" s="57"/>
    </row>
    <row r="11" customFormat="false" ht="15" hidden="false" customHeight="false" outlineLevel="0" collapsed="false">
      <c r="A11" s="7" t="s">
        <v>487</v>
      </c>
      <c r="B11" s="42" t="s">
        <v>197</v>
      </c>
      <c r="C11" s="43" t="str">
        <f aca="false">INDEX(Products!$B$2:$B$16,MATCH($B11,Products!$A$2:$A$16,0))</f>
        <v>Ceiling Fan 1200 mm - BLDC</v>
      </c>
      <c r="D11" s="36" t="s">
        <v>480</v>
      </c>
      <c r="E11" s="42" t="s">
        <v>286</v>
      </c>
      <c r="F11" s="43" t="str">
        <f aca="false">INDEX(RawMaterials!$B$2:$B$11,MATCH($E11,RawMaterials!$A$2:$A$11,0))</f>
        <v>CRCA Steel Sheet / Coil</v>
      </c>
      <c r="G11" s="58" t="n">
        <v>1.85</v>
      </c>
      <c r="H11" s="59" t="n">
        <f aca="false">INDEX(RawMaterials!$I$2:$I$11,MATCH($E11,RawMaterials!$A$2:$A$11,0))</f>
        <v>0.85</v>
      </c>
      <c r="I11" s="60" t="n">
        <f aca="false">G11/H11</f>
        <v>2.17647058823529</v>
      </c>
      <c r="J11" s="44" t="n">
        <f aca="false">INDEX(RawMaterials!$G$2:$G$11,MATCH($E11,RawMaterials!$A$2:$A$11,0))</f>
        <v>66.65</v>
      </c>
      <c r="K11" s="61" t="n">
        <f aca="false">I11*J11</f>
        <v>145.061764705882</v>
      </c>
      <c r="L11" s="60" t="n">
        <f aca="false">I11-G11</f>
        <v>0.326470588235294</v>
      </c>
      <c r="M11" s="32" t="n">
        <f aca="false">IF(SUMIFS($K$2:$K$400,$B$2:$B$400,$B11)=0,0,K11/SUMIFS($K$2:$K$400,$B$2:$B$400,$B11))</f>
        <v>0.165890615372036</v>
      </c>
      <c r="O11" s="57"/>
    </row>
    <row r="12" customFormat="false" ht="15" hidden="false" customHeight="false" outlineLevel="0" collapsed="false">
      <c r="A12" s="7" t="s">
        <v>488</v>
      </c>
      <c r="B12" s="42" t="s">
        <v>197</v>
      </c>
      <c r="C12" s="43" t="str">
        <f aca="false">INDEX(Products!$B$2:$B$16,MATCH($B12,Products!$A$2:$A$16,0))</f>
        <v>Ceiling Fan 1200 mm - BLDC</v>
      </c>
      <c r="D12" s="36" t="s">
        <v>482</v>
      </c>
      <c r="E12" s="42" t="s">
        <v>333</v>
      </c>
      <c r="F12" s="43" t="str">
        <f aca="false">INDEX(RawMaterials!$B$2:$B$11,MATCH($E12,RawMaterials!$A$2:$A$11,0))</f>
        <v>Powder Coating (Epoxy-Polyester)</v>
      </c>
      <c r="G12" s="58" t="n">
        <v>0.07</v>
      </c>
      <c r="H12" s="59" t="n">
        <f aca="false">INDEX(RawMaterials!$I$2:$I$11,MATCH($E12,RawMaterials!$A$2:$A$11,0))</f>
        <v>0.8</v>
      </c>
      <c r="I12" s="60" t="n">
        <f aca="false">G12/H12</f>
        <v>0.0875</v>
      </c>
      <c r="J12" s="44" t="n">
        <f aca="false">INDEX(RawMaterials!$G$2:$G$11,MATCH($E12,RawMaterials!$A$2:$A$11,0))</f>
        <v>345</v>
      </c>
      <c r="K12" s="61" t="n">
        <f aca="false">I12*J12</f>
        <v>30.1875</v>
      </c>
      <c r="L12" s="60" t="n">
        <f aca="false">I12-G12</f>
        <v>0.0175</v>
      </c>
      <c r="M12" s="32" t="n">
        <f aca="false">IF(SUMIFS($K$2:$K$400,$B$2:$B$400,$B12)=0,0,K12/SUMIFS($K$2:$K$400,$B$2:$B$400,$B12))</f>
        <v>0.0345220048969959</v>
      </c>
      <c r="O12" s="57"/>
    </row>
    <row r="13" customFormat="false" ht="15" hidden="false" customHeight="false" outlineLevel="0" collapsed="false">
      <c r="A13" s="7" t="s">
        <v>489</v>
      </c>
      <c r="B13" s="42" t="s">
        <v>197</v>
      </c>
      <c r="C13" s="43" t="str">
        <f aca="false">INDEX(Products!$B$2:$B$16,MATCH($B13,Products!$A$2:$A$16,0))</f>
        <v>Ceiling Fan 1200 mm - BLDC</v>
      </c>
      <c r="D13" s="36" t="s">
        <v>344</v>
      </c>
      <c r="E13" s="42" t="s">
        <v>340</v>
      </c>
      <c r="F13" s="43" t="str">
        <f aca="false">INDEX(RawMaterials!$B$2:$B$11,MATCH($E13,RawMaterials!$A$2:$A$11,0))</f>
        <v>Corrugated Board / Cartons</v>
      </c>
      <c r="G13" s="58" t="n">
        <v>0.72</v>
      </c>
      <c r="H13" s="59" t="n">
        <f aca="false">INDEX(RawMaterials!$I$2:$I$11,MATCH($E13,RawMaterials!$A$2:$A$11,0))</f>
        <v>0.97</v>
      </c>
      <c r="I13" s="60" t="n">
        <f aca="false">G13/H13</f>
        <v>0.742268041237113</v>
      </c>
      <c r="J13" s="44" t="n">
        <f aca="false">INDEX(RawMaterials!$G$2:$G$11,MATCH($E13,RawMaterials!$A$2:$A$11,0))</f>
        <v>52</v>
      </c>
      <c r="K13" s="61" t="n">
        <f aca="false">I13*J13</f>
        <v>38.5979381443299</v>
      </c>
      <c r="L13" s="60" t="n">
        <f aca="false">I13-G13</f>
        <v>0.0222680412371135</v>
      </c>
      <c r="M13" s="32" t="n">
        <f aca="false">IF(SUMIFS($K$2:$K$400,$B$2:$B$400,$B13)=0,0,K13/SUMIFS($K$2:$K$400,$B$2:$B$400,$B13))</f>
        <v>0.0441400649153624</v>
      </c>
      <c r="O13" s="57"/>
    </row>
    <row r="14" customFormat="false" ht="15" hidden="false" customHeight="false" outlineLevel="0" collapsed="false">
      <c r="A14" s="7" t="s">
        <v>490</v>
      </c>
      <c r="B14" s="42" t="s">
        <v>201</v>
      </c>
      <c r="C14" s="43" t="str">
        <f aca="false">INDEX(Products!$B$2:$B$16,MATCH($B14,Products!$A$2:$A$16,0))</f>
        <v>Pedestal Fan 400 mm</v>
      </c>
      <c r="D14" s="36" t="s">
        <v>475</v>
      </c>
      <c r="E14" s="42" t="s">
        <v>277</v>
      </c>
      <c r="F14" s="43" t="str">
        <f aca="false">INDEX(RawMaterials!$B$2:$B$11,MATCH($E14,RawMaterials!$A$2:$A$11,0))</f>
        <v>CRNGO Electrical Steel Coil</v>
      </c>
      <c r="G14" s="58" t="n">
        <v>0.38</v>
      </c>
      <c r="H14" s="59" t="n">
        <f aca="false">INDEX(RawMaterials!$I$2:$I$11,MATCH($E14,RawMaterials!$A$2:$A$11,0))</f>
        <v>0.7</v>
      </c>
      <c r="I14" s="60" t="n">
        <f aca="false">G14/H14</f>
        <v>0.542857142857143</v>
      </c>
      <c r="J14" s="44" t="n">
        <f aca="false">INDEX(RawMaterials!$G$2:$G$11,MATCH($E14,RawMaterials!$A$2:$A$11,0))</f>
        <v>93.4</v>
      </c>
      <c r="K14" s="61" t="n">
        <f aca="false">I14*J14</f>
        <v>50.7028571428572</v>
      </c>
      <c r="L14" s="60" t="n">
        <f aca="false">I14-G14</f>
        <v>0.162857142857143</v>
      </c>
      <c r="M14" s="32" t="n">
        <f aca="false">IF(SUMIFS($K$2:$K$400,$B$2:$B$400,$B14)=0,0,K14/SUMIFS($K$2:$K$400,$B$2:$B$400,$B14))</f>
        <v>0.0648057073690562</v>
      </c>
      <c r="O14" s="57"/>
    </row>
    <row r="15" customFormat="false" ht="15" hidden="false" customHeight="false" outlineLevel="0" collapsed="false">
      <c r="A15" s="7" t="s">
        <v>491</v>
      </c>
      <c r="B15" s="42" t="s">
        <v>201</v>
      </c>
      <c r="C15" s="43" t="str">
        <f aca="false">INDEX(Products!$B$2:$B$16,MATCH($B15,Products!$A$2:$A$16,0))</f>
        <v>Pedestal Fan 400 mm</v>
      </c>
      <c r="D15" s="36" t="s">
        <v>475</v>
      </c>
      <c r="E15" s="42" t="s">
        <v>300</v>
      </c>
      <c r="F15" s="43" t="str">
        <f aca="false">INDEX(RawMaterials!$B$2:$B$11,MATCH($E15,RawMaterials!$A$2:$A$11,0))</f>
        <v>Enamelled Copper Winding Wire</v>
      </c>
      <c r="G15" s="58" t="n">
        <v>0.24</v>
      </c>
      <c r="H15" s="59" t="n">
        <f aca="false">INDEX(RawMaterials!$I$2:$I$11,MATCH($E15,RawMaterials!$A$2:$A$11,0))</f>
        <v>0.98</v>
      </c>
      <c r="I15" s="60" t="n">
        <f aca="false">G15/H15</f>
        <v>0.244897959183673</v>
      </c>
      <c r="J15" s="44" t="n">
        <f aca="false">INDEX(RawMaterials!$G$2:$G$11,MATCH($E15,RawMaterials!$A$2:$A$11,0))</f>
        <v>1336.25</v>
      </c>
      <c r="K15" s="61" t="n">
        <f aca="false">I15*J15</f>
        <v>327.244897959184</v>
      </c>
      <c r="L15" s="60" t="n">
        <f aca="false">I15-G15</f>
        <v>0.00489795918367347</v>
      </c>
      <c r="M15" s="32" t="n">
        <f aca="false">IF(SUMIFS($K$2:$K$400,$B$2:$B$400,$B15)=0,0,K15/SUMIFS($K$2:$K$400,$B$2:$B$400,$B15))</f>
        <v>0.418267101504893</v>
      </c>
      <c r="O15" s="57"/>
    </row>
    <row r="16" customFormat="false" ht="15" hidden="false" customHeight="false" outlineLevel="0" collapsed="false">
      <c r="A16" s="7" t="s">
        <v>492</v>
      </c>
      <c r="B16" s="42" t="s">
        <v>201</v>
      </c>
      <c r="C16" s="43" t="str">
        <f aca="false">INDEX(Products!$B$2:$B$16,MATCH($B16,Products!$A$2:$A$16,0))</f>
        <v>Pedestal Fan 400 mm</v>
      </c>
      <c r="D16" s="36" t="s">
        <v>475</v>
      </c>
      <c r="E16" s="42" t="s">
        <v>292</v>
      </c>
      <c r="F16" s="43" t="str">
        <f aca="false">INDEX(RawMaterials!$B$2:$B$11,MATCH($E16,RawMaterials!$A$2:$A$11,0))</f>
        <v>Aluminium Alloy Ingot (ADC12)</v>
      </c>
      <c r="G16" s="58" t="n">
        <v>0.32</v>
      </c>
      <c r="H16" s="59" t="n">
        <f aca="false">INDEX(RawMaterials!$I$2:$I$11,MATCH($E16,RawMaterials!$A$2:$A$11,0))</f>
        <v>0.92</v>
      </c>
      <c r="I16" s="60" t="n">
        <f aca="false">G16/H16</f>
        <v>0.347826086956522</v>
      </c>
      <c r="J16" s="44" t="n">
        <f aca="false">INDEX(RawMaterials!$G$2:$G$11,MATCH($E16,RawMaterials!$A$2:$A$11,0))</f>
        <v>261.5</v>
      </c>
      <c r="K16" s="61" t="n">
        <f aca="false">I16*J16</f>
        <v>90.9565217391304</v>
      </c>
      <c r="L16" s="60" t="n">
        <f aca="false">I16-G16</f>
        <v>0.0278260869565217</v>
      </c>
      <c r="M16" s="32" t="n">
        <f aca="false">IF(SUMIFS($K$2:$K$400,$B$2:$B$400,$B16)=0,0,K16/SUMIFS($K$2:$K$400,$B$2:$B$400,$B16))</f>
        <v>0.116255810092226</v>
      </c>
      <c r="O16" s="57"/>
    </row>
    <row r="17" customFormat="false" ht="15" hidden="false" customHeight="false" outlineLevel="0" collapsed="false">
      <c r="A17" s="7" t="s">
        <v>493</v>
      </c>
      <c r="B17" s="42" t="s">
        <v>201</v>
      </c>
      <c r="C17" s="43" t="str">
        <f aca="false">INDEX(Products!$B$2:$B$16,MATCH($B17,Products!$A$2:$A$16,0))</f>
        <v>Pedestal Fan 400 mm</v>
      </c>
      <c r="D17" s="36" t="s">
        <v>494</v>
      </c>
      <c r="E17" s="42" t="s">
        <v>306</v>
      </c>
      <c r="F17" s="43" t="str">
        <f aca="false">INDEX(RawMaterials!$B$2:$B$11,MATCH($E17,RawMaterials!$A$2:$A$11,0))</f>
        <v>Polypropylene (PP) Granules</v>
      </c>
      <c r="G17" s="58" t="n">
        <v>0.3</v>
      </c>
      <c r="H17" s="59" t="n">
        <f aca="false">INDEX(RawMaterials!$I$2:$I$11,MATCH($E17,RawMaterials!$A$2:$A$11,0))</f>
        <v>0.97</v>
      </c>
      <c r="I17" s="60" t="n">
        <f aca="false">G17/H17</f>
        <v>0.309278350515464</v>
      </c>
      <c r="J17" s="44" t="n">
        <f aca="false">INDEX(RawMaterials!$G$2:$G$11,MATCH($E17,RawMaterials!$A$2:$A$11,0))</f>
        <v>107</v>
      </c>
      <c r="K17" s="61" t="n">
        <f aca="false">I17*J17</f>
        <v>33.0927835051546</v>
      </c>
      <c r="L17" s="60" t="n">
        <f aca="false">I17-G17</f>
        <v>0.00927835051546394</v>
      </c>
      <c r="M17" s="32" t="n">
        <f aca="false">IF(SUMIFS($K$2:$K$400,$B$2:$B$400,$B17)=0,0,K17/SUMIFS($K$2:$K$400,$B$2:$B$400,$B17))</f>
        <v>0.0422974436691031</v>
      </c>
      <c r="O17" s="57"/>
    </row>
    <row r="18" customFormat="false" ht="15" hidden="false" customHeight="false" outlineLevel="0" collapsed="false">
      <c r="A18" s="7" t="s">
        <v>495</v>
      </c>
      <c r="B18" s="42" t="s">
        <v>201</v>
      </c>
      <c r="C18" s="43" t="str">
        <f aca="false">INDEX(Products!$B$2:$B$16,MATCH($B18,Products!$A$2:$A$16,0))</f>
        <v>Pedestal Fan 400 mm</v>
      </c>
      <c r="D18" s="36" t="s">
        <v>480</v>
      </c>
      <c r="E18" s="42" t="s">
        <v>286</v>
      </c>
      <c r="F18" s="43" t="str">
        <f aca="false">INDEX(RawMaterials!$B$2:$B$11,MATCH($E18,RawMaterials!$A$2:$A$11,0))</f>
        <v>CRCA Steel Sheet / Coil</v>
      </c>
      <c r="G18" s="58" t="n">
        <v>1.55</v>
      </c>
      <c r="H18" s="59" t="n">
        <f aca="false">INDEX(RawMaterials!$I$2:$I$11,MATCH($E18,RawMaterials!$A$2:$A$11,0))</f>
        <v>0.85</v>
      </c>
      <c r="I18" s="60" t="n">
        <f aca="false">G18/H18</f>
        <v>1.82352941176471</v>
      </c>
      <c r="J18" s="44" t="n">
        <f aca="false">INDEX(RawMaterials!$G$2:$G$11,MATCH($E18,RawMaterials!$A$2:$A$11,0))</f>
        <v>66.65</v>
      </c>
      <c r="K18" s="61" t="n">
        <f aca="false">I18*J18</f>
        <v>121.538235294118</v>
      </c>
      <c r="L18" s="60" t="n">
        <f aca="false">I18-G18</f>
        <v>0.273529411764706</v>
      </c>
      <c r="M18" s="32" t="n">
        <f aca="false">IF(SUMIFS($K$2:$K$400,$B$2:$B$400,$B18)=0,0,K18/SUMIFS($K$2:$K$400,$B$2:$B$400,$B18))</f>
        <v>0.155343737107953</v>
      </c>
      <c r="O18" s="57"/>
    </row>
    <row r="19" customFormat="false" ht="15" hidden="false" customHeight="false" outlineLevel="0" collapsed="false">
      <c r="A19" s="7" t="s">
        <v>496</v>
      </c>
      <c r="B19" s="42" t="s">
        <v>201</v>
      </c>
      <c r="C19" s="43" t="str">
        <f aca="false">INDEX(Products!$B$2:$B$16,MATCH($B19,Products!$A$2:$A$16,0))</f>
        <v>Pedestal Fan 400 mm</v>
      </c>
      <c r="D19" s="36" t="s">
        <v>480</v>
      </c>
      <c r="E19" s="42" t="s">
        <v>313</v>
      </c>
      <c r="F19" s="43" t="str">
        <f aca="false">INDEX(RawMaterials!$B$2:$B$11,MATCH($E19,RawMaterials!$A$2:$A$11,0))</f>
        <v>ABS Granules</v>
      </c>
      <c r="G19" s="58" t="n">
        <v>0.4</v>
      </c>
      <c r="H19" s="59" t="n">
        <f aca="false">INDEX(RawMaterials!$I$2:$I$11,MATCH($E19,RawMaterials!$A$2:$A$11,0))</f>
        <v>0.97</v>
      </c>
      <c r="I19" s="60" t="n">
        <f aca="false">G19/H19</f>
        <v>0.412371134020619</v>
      </c>
      <c r="J19" s="44" t="n">
        <f aca="false">INDEX(RawMaterials!$G$2:$G$11,MATCH($E19,RawMaterials!$A$2:$A$11,0))</f>
        <v>156</v>
      </c>
      <c r="K19" s="61" t="n">
        <f aca="false">I19*J19</f>
        <v>64.3298969072165</v>
      </c>
      <c r="L19" s="60" t="n">
        <f aca="false">I19-G19</f>
        <v>0.0123711340206186</v>
      </c>
      <c r="M19" s="32" t="n">
        <f aca="false">IF(SUMIFS($K$2:$K$400,$B$2:$B$400,$B19)=0,0,K19/SUMIFS($K$2:$K$400,$B$2:$B$400,$B19))</f>
        <v>0.0822230680670415</v>
      </c>
      <c r="O19" s="57"/>
    </row>
    <row r="20" customFormat="false" ht="15" hidden="false" customHeight="false" outlineLevel="0" collapsed="false">
      <c r="A20" s="7" t="s">
        <v>497</v>
      </c>
      <c r="B20" s="42" t="s">
        <v>201</v>
      </c>
      <c r="C20" s="43" t="str">
        <f aca="false">INDEX(Products!$B$2:$B$16,MATCH($B20,Products!$A$2:$A$16,0))</f>
        <v>Pedestal Fan 400 mm</v>
      </c>
      <c r="D20" s="36" t="s">
        <v>482</v>
      </c>
      <c r="E20" s="42" t="s">
        <v>333</v>
      </c>
      <c r="F20" s="43" t="str">
        <f aca="false">INDEX(RawMaterials!$B$2:$B$11,MATCH($E20,RawMaterials!$A$2:$A$11,0))</f>
        <v>Powder Coating (Epoxy-Polyester)</v>
      </c>
      <c r="G20" s="58" t="n">
        <v>0.07</v>
      </c>
      <c r="H20" s="59" t="n">
        <f aca="false">INDEX(RawMaterials!$I$2:$I$11,MATCH($E20,RawMaterials!$A$2:$A$11,0))</f>
        <v>0.8</v>
      </c>
      <c r="I20" s="60" t="n">
        <f aca="false">G20/H20</f>
        <v>0.0875</v>
      </c>
      <c r="J20" s="44" t="n">
        <f aca="false">INDEX(RawMaterials!$G$2:$G$11,MATCH($E20,RawMaterials!$A$2:$A$11,0))</f>
        <v>345</v>
      </c>
      <c r="K20" s="61" t="n">
        <f aca="false">I20*J20</f>
        <v>30.1875</v>
      </c>
      <c r="L20" s="60" t="n">
        <f aca="false">I20-G20</f>
        <v>0.0175</v>
      </c>
      <c r="M20" s="32" t="n">
        <f aca="false">IF(SUMIFS($K$2:$K$400,$B$2:$B$400,$B20)=0,0,K20/SUMIFS($K$2:$K$400,$B$2:$B$400,$B20))</f>
        <v>0.0385840641226859</v>
      </c>
      <c r="O20" s="57"/>
    </row>
    <row r="21" customFormat="false" ht="15" hidden="false" customHeight="false" outlineLevel="0" collapsed="false">
      <c r="A21" s="7" t="s">
        <v>498</v>
      </c>
      <c r="B21" s="42" t="s">
        <v>201</v>
      </c>
      <c r="C21" s="43" t="str">
        <f aca="false">INDEX(Products!$B$2:$B$16,MATCH($B21,Products!$A$2:$A$16,0))</f>
        <v>Pedestal Fan 400 mm</v>
      </c>
      <c r="D21" s="36" t="s">
        <v>344</v>
      </c>
      <c r="E21" s="42" t="s">
        <v>340</v>
      </c>
      <c r="F21" s="43" t="str">
        <f aca="false">INDEX(RawMaterials!$B$2:$B$11,MATCH($E21,RawMaterials!$A$2:$A$11,0))</f>
        <v>Corrugated Board / Cartons</v>
      </c>
      <c r="G21" s="58" t="n">
        <v>1.2</v>
      </c>
      <c r="H21" s="59" t="n">
        <f aca="false">INDEX(RawMaterials!$I$2:$I$11,MATCH($E21,RawMaterials!$A$2:$A$11,0))</f>
        <v>0.97</v>
      </c>
      <c r="I21" s="60" t="n">
        <f aca="false">G21/H21</f>
        <v>1.23711340206186</v>
      </c>
      <c r="J21" s="44" t="n">
        <f aca="false">INDEX(RawMaterials!$G$2:$G$11,MATCH($E21,RawMaterials!$A$2:$A$11,0))</f>
        <v>52</v>
      </c>
      <c r="K21" s="61" t="n">
        <f aca="false">I21*J21</f>
        <v>64.3298969072165</v>
      </c>
      <c r="L21" s="60" t="n">
        <f aca="false">I21-G21</f>
        <v>0.0371134020618558</v>
      </c>
      <c r="M21" s="32" t="n">
        <f aca="false">IF(SUMIFS($K$2:$K$400,$B$2:$B$400,$B21)=0,0,K21/SUMIFS($K$2:$K$400,$B$2:$B$400,$B21))</f>
        <v>0.0822230680670415</v>
      </c>
      <c r="O21" s="57"/>
    </row>
    <row r="22" customFormat="false" ht="15" hidden="false" customHeight="false" outlineLevel="0" collapsed="false">
      <c r="A22" s="7" t="s">
        <v>499</v>
      </c>
      <c r="B22" s="42" t="s">
        <v>205</v>
      </c>
      <c r="C22" s="43" t="str">
        <f aca="false">INDEX(Products!$B$2:$B$16,MATCH($B22,Products!$A$2:$A$16,0))</f>
        <v>Table Fan 400 mm</v>
      </c>
      <c r="D22" s="36" t="s">
        <v>475</v>
      </c>
      <c r="E22" s="42" t="s">
        <v>277</v>
      </c>
      <c r="F22" s="43" t="str">
        <f aca="false">INDEX(RawMaterials!$B$2:$B$11,MATCH($E22,RawMaterials!$A$2:$A$11,0))</f>
        <v>CRNGO Electrical Steel Coil</v>
      </c>
      <c r="G22" s="58" t="n">
        <v>0.3</v>
      </c>
      <c r="H22" s="59" t="n">
        <f aca="false">INDEX(RawMaterials!$I$2:$I$11,MATCH($E22,RawMaterials!$A$2:$A$11,0))</f>
        <v>0.7</v>
      </c>
      <c r="I22" s="60" t="n">
        <f aca="false">G22/H22</f>
        <v>0.428571428571429</v>
      </c>
      <c r="J22" s="44" t="n">
        <f aca="false">INDEX(RawMaterials!$G$2:$G$11,MATCH($E22,RawMaterials!$A$2:$A$11,0))</f>
        <v>93.4</v>
      </c>
      <c r="K22" s="61" t="n">
        <f aca="false">I22*J22</f>
        <v>40.0285714285714</v>
      </c>
      <c r="L22" s="60" t="n">
        <f aca="false">I22-G22</f>
        <v>0.128571428571429</v>
      </c>
      <c r="M22" s="32" t="n">
        <f aca="false">IF(SUMIFS($K$2:$K$400,$B$2:$B$400,$B22)=0,0,K22/SUMIFS($K$2:$K$400,$B$2:$B$400,$B22))</f>
        <v>0.0721261176833762</v>
      </c>
      <c r="O22" s="57"/>
    </row>
    <row r="23" customFormat="false" ht="15" hidden="false" customHeight="false" outlineLevel="0" collapsed="false">
      <c r="A23" s="7" t="s">
        <v>500</v>
      </c>
      <c r="B23" s="42" t="s">
        <v>205</v>
      </c>
      <c r="C23" s="43" t="str">
        <f aca="false">INDEX(Products!$B$2:$B$16,MATCH($B23,Products!$A$2:$A$16,0))</f>
        <v>Table Fan 400 mm</v>
      </c>
      <c r="D23" s="36" t="s">
        <v>475</v>
      </c>
      <c r="E23" s="42" t="s">
        <v>300</v>
      </c>
      <c r="F23" s="43" t="str">
        <f aca="false">INDEX(RawMaterials!$B$2:$B$11,MATCH($E23,RawMaterials!$A$2:$A$11,0))</f>
        <v>Enamelled Copper Winding Wire</v>
      </c>
      <c r="G23" s="58" t="n">
        <v>0.19</v>
      </c>
      <c r="H23" s="59" t="n">
        <f aca="false">INDEX(RawMaterials!$I$2:$I$11,MATCH($E23,RawMaterials!$A$2:$A$11,0))</f>
        <v>0.98</v>
      </c>
      <c r="I23" s="60" t="n">
        <f aca="false">G23/H23</f>
        <v>0.193877551020408</v>
      </c>
      <c r="J23" s="44" t="n">
        <f aca="false">INDEX(RawMaterials!$G$2:$G$11,MATCH($E23,RawMaterials!$A$2:$A$11,0))</f>
        <v>1336.25</v>
      </c>
      <c r="K23" s="61" t="n">
        <f aca="false">I23*J23</f>
        <v>259.06887755102</v>
      </c>
      <c r="L23" s="60" t="n">
        <f aca="false">I23-G23</f>
        <v>0.00387755102040815</v>
      </c>
      <c r="M23" s="32" t="n">
        <f aca="false">IF(SUMIFS($K$2:$K$400,$B$2:$B$400,$B23)=0,0,K23/SUMIFS($K$2:$K$400,$B$2:$B$400,$B23))</f>
        <v>0.466807374919399</v>
      </c>
      <c r="O23" s="57"/>
    </row>
    <row r="24" customFormat="false" ht="15" hidden="false" customHeight="false" outlineLevel="0" collapsed="false">
      <c r="A24" s="7" t="s">
        <v>501</v>
      </c>
      <c r="B24" s="42" t="s">
        <v>205</v>
      </c>
      <c r="C24" s="43" t="str">
        <f aca="false">INDEX(Products!$B$2:$B$16,MATCH($B24,Products!$A$2:$A$16,0))</f>
        <v>Table Fan 400 mm</v>
      </c>
      <c r="D24" s="36" t="s">
        <v>475</v>
      </c>
      <c r="E24" s="42" t="s">
        <v>292</v>
      </c>
      <c r="F24" s="43" t="str">
        <f aca="false">INDEX(RawMaterials!$B$2:$B$11,MATCH($E24,RawMaterials!$A$2:$A$11,0))</f>
        <v>Aluminium Alloy Ingot (ADC12)</v>
      </c>
      <c r="G24" s="58" t="n">
        <v>0.2</v>
      </c>
      <c r="H24" s="59" t="n">
        <f aca="false">INDEX(RawMaterials!$I$2:$I$11,MATCH($E24,RawMaterials!$A$2:$A$11,0))</f>
        <v>0.92</v>
      </c>
      <c r="I24" s="60" t="n">
        <f aca="false">G24/H24</f>
        <v>0.217391304347826</v>
      </c>
      <c r="J24" s="44" t="n">
        <f aca="false">INDEX(RawMaterials!$G$2:$G$11,MATCH($E24,RawMaterials!$A$2:$A$11,0))</f>
        <v>261.5</v>
      </c>
      <c r="K24" s="61" t="n">
        <f aca="false">I24*J24</f>
        <v>56.8478260869565</v>
      </c>
      <c r="L24" s="60" t="n">
        <f aca="false">I24-G24</f>
        <v>0.0173913043478261</v>
      </c>
      <c r="M24" s="32" t="n">
        <f aca="false">IF(SUMIFS($K$2:$K$400,$B$2:$B$400,$B24)=0,0,K24/SUMIFS($K$2:$K$400,$B$2:$B$400,$B24))</f>
        <v>0.102432159031918</v>
      </c>
      <c r="O24" s="57"/>
    </row>
    <row r="25" customFormat="false" ht="15" hidden="false" customHeight="false" outlineLevel="0" collapsed="false">
      <c r="A25" s="7" t="s">
        <v>502</v>
      </c>
      <c r="B25" s="42" t="s">
        <v>205</v>
      </c>
      <c r="C25" s="43" t="str">
        <f aca="false">INDEX(Products!$B$2:$B$16,MATCH($B25,Products!$A$2:$A$16,0))</f>
        <v>Table Fan 400 mm</v>
      </c>
      <c r="D25" s="36" t="s">
        <v>494</v>
      </c>
      <c r="E25" s="42" t="s">
        <v>306</v>
      </c>
      <c r="F25" s="43" t="str">
        <f aca="false">INDEX(RawMaterials!$B$2:$B$11,MATCH($E25,RawMaterials!$A$2:$A$11,0))</f>
        <v>Polypropylene (PP) Granules</v>
      </c>
      <c r="G25" s="58" t="n">
        <v>0.25</v>
      </c>
      <c r="H25" s="59" t="n">
        <f aca="false">INDEX(RawMaterials!$I$2:$I$11,MATCH($E25,RawMaterials!$A$2:$A$11,0))</f>
        <v>0.97</v>
      </c>
      <c r="I25" s="60" t="n">
        <f aca="false">G25/H25</f>
        <v>0.257731958762887</v>
      </c>
      <c r="J25" s="44" t="n">
        <f aca="false">INDEX(RawMaterials!$G$2:$G$11,MATCH($E25,RawMaterials!$A$2:$A$11,0))</f>
        <v>107</v>
      </c>
      <c r="K25" s="61" t="n">
        <f aca="false">I25*J25</f>
        <v>27.5773195876289</v>
      </c>
      <c r="L25" s="60" t="n">
        <f aca="false">I25-G25</f>
        <v>0.00773195876288663</v>
      </c>
      <c r="M25" s="32" t="n">
        <f aca="false">IF(SUMIFS($K$2:$K$400,$B$2:$B$400,$B25)=0,0,K25/SUMIFS($K$2:$K$400,$B$2:$B$400,$B25))</f>
        <v>0.04969063164092</v>
      </c>
      <c r="O25" s="57"/>
    </row>
    <row r="26" customFormat="false" ht="15" hidden="false" customHeight="false" outlineLevel="0" collapsed="false">
      <c r="A26" s="7" t="s">
        <v>503</v>
      </c>
      <c r="B26" s="42" t="s">
        <v>205</v>
      </c>
      <c r="C26" s="43" t="str">
        <f aca="false">INDEX(Products!$B$2:$B$16,MATCH($B26,Products!$A$2:$A$16,0))</f>
        <v>Table Fan 400 mm</v>
      </c>
      <c r="D26" s="36" t="s">
        <v>480</v>
      </c>
      <c r="E26" s="42" t="s">
        <v>286</v>
      </c>
      <c r="F26" s="43" t="str">
        <f aca="false">INDEX(RawMaterials!$B$2:$B$11,MATCH($E26,RawMaterials!$A$2:$A$11,0))</f>
        <v>CRCA Steel Sheet / Coil</v>
      </c>
      <c r="G26" s="58" t="n">
        <v>0.75</v>
      </c>
      <c r="H26" s="59" t="n">
        <f aca="false">INDEX(RawMaterials!$I$2:$I$11,MATCH($E26,RawMaterials!$A$2:$A$11,0))</f>
        <v>0.85</v>
      </c>
      <c r="I26" s="60" t="n">
        <f aca="false">G26/H26</f>
        <v>0.882352941176471</v>
      </c>
      <c r="J26" s="44" t="n">
        <f aca="false">INDEX(RawMaterials!$G$2:$G$11,MATCH($E26,RawMaterials!$A$2:$A$11,0))</f>
        <v>66.65</v>
      </c>
      <c r="K26" s="61" t="n">
        <f aca="false">I26*J26</f>
        <v>58.8088235294118</v>
      </c>
      <c r="L26" s="60" t="n">
        <f aca="false">I26-G26</f>
        <v>0.132352941176471</v>
      </c>
      <c r="M26" s="32" t="n">
        <f aca="false">IF(SUMIFS($K$2:$K$400,$B$2:$B$400,$B26)=0,0,K26/SUMIFS($K$2:$K$400,$B$2:$B$400,$B26))</f>
        <v>0.105965613443693</v>
      </c>
      <c r="O26" s="57"/>
    </row>
    <row r="27" customFormat="false" ht="15" hidden="false" customHeight="false" outlineLevel="0" collapsed="false">
      <c r="A27" s="7" t="s">
        <v>504</v>
      </c>
      <c r="B27" s="42" t="s">
        <v>205</v>
      </c>
      <c r="C27" s="43" t="str">
        <f aca="false">INDEX(Products!$B$2:$B$16,MATCH($B27,Products!$A$2:$A$16,0))</f>
        <v>Table Fan 400 mm</v>
      </c>
      <c r="D27" s="36" t="s">
        <v>480</v>
      </c>
      <c r="E27" s="42" t="s">
        <v>313</v>
      </c>
      <c r="F27" s="43" t="str">
        <f aca="false">INDEX(RawMaterials!$B$2:$B$11,MATCH($E27,RawMaterials!$A$2:$A$11,0))</f>
        <v>ABS Granules</v>
      </c>
      <c r="G27" s="58" t="n">
        <v>0.42</v>
      </c>
      <c r="H27" s="59" t="n">
        <f aca="false">INDEX(RawMaterials!$I$2:$I$11,MATCH($E27,RawMaterials!$A$2:$A$11,0))</f>
        <v>0.97</v>
      </c>
      <c r="I27" s="60" t="n">
        <f aca="false">G27/H27</f>
        <v>0.43298969072165</v>
      </c>
      <c r="J27" s="44" t="n">
        <f aca="false">INDEX(RawMaterials!$G$2:$G$11,MATCH($E27,RawMaterials!$A$2:$A$11,0))</f>
        <v>156</v>
      </c>
      <c r="K27" s="61" t="n">
        <f aca="false">I27*J27</f>
        <v>67.5463917525773</v>
      </c>
      <c r="L27" s="60" t="n">
        <f aca="false">I27-G27</f>
        <v>0.0129896907216495</v>
      </c>
      <c r="M27" s="32" t="n">
        <f aca="false">IF(SUMIFS($K$2:$K$400,$B$2:$B$400,$B27)=0,0,K27/SUMIFS($K$2:$K$400,$B$2:$B$400,$B27))</f>
        <v>0.121709539630395</v>
      </c>
      <c r="O27" s="57"/>
    </row>
    <row r="28" customFormat="false" ht="15" hidden="false" customHeight="false" outlineLevel="0" collapsed="false">
      <c r="A28" s="7" t="s">
        <v>505</v>
      </c>
      <c r="B28" s="42" t="s">
        <v>205</v>
      </c>
      <c r="C28" s="43" t="str">
        <f aca="false">INDEX(Products!$B$2:$B$16,MATCH($B28,Products!$A$2:$A$16,0))</f>
        <v>Table Fan 400 mm</v>
      </c>
      <c r="D28" s="36" t="s">
        <v>482</v>
      </c>
      <c r="E28" s="42" t="s">
        <v>333</v>
      </c>
      <c r="F28" s="43" t="str">
        <f aca="false">INDEX(RawMaterials!$B$2:$B$11,MATCH($E28,RawMaterials!$A$2:$A$11,0))</f>
        <v>Powder Coating (Epoxy-Polyester)</v>
      </c>
      <c r="G28" s="58" t="n">
        <v>0.03</v>
      </c>
      <c r="H28" s="59" t="n">
        <f aca="false">INDEX(RawMaterials!$I$2:$I$11,MATCH($E28,RawMaterials!$A$2:$A$11,0))</f>
        <v>0.8</v>
      </c>
      <c r="I28" s="60" t="n">
        <f aca="false">G28/H28</f>
        <v>0.0375</v>
      </c>
      <c r="J28" s="44" t="n">
        <f aca="false">INDEX(RawMaterials!$G$2:$G$11,MATCH($E28,RawMaterials!$A$2:$A$11,0))</f>
        <v>345</v>
      </c>
      <c r="K28" s="61" t="n">
        <f aca="false">I28*J28</f>
        <v>12.9375</v>
      </c>
      <c r="L28" s="60" t="n">
        <f aca="false">I28-G28</f>
        <v>0.0075</v>
      </c>
      <c r="M28" s="32" t="n">
        <f aca="false">IF(SUMIFS($K$2:$K$400,$B$2:$B$400,$B28)=0,0,K28/SUMIFS($K$2:$K$400,$B$2:$B$400,$B28))</f>
        <v>0.0233116400167764</v>
      </c>
      <c r="O28" s="57"/>
    </row>
    <row r="29" customFormat="false" ht="15" hidden="false" customHeight="false" outlineLevel="0" collapsed="false">
      <c r="A29" s="7" t="s">
        <v>506</v>
      </c>
      <c r="B29" s="42" t="s">
        <v>205</v>
      </c>
      <c r="C29" s="43" t="str">
        <f aca="false">INDEX(Products!$B$2:$B$16,MATCH($B29,Products!$A$2:$A$16,0))</f>
        <v>Table Fan 400 mm</v>
      </c>
      <c r="D29" s="36" t="s">
        <v>344</v>
      </c>
      <c r="E29" s="42" t="s">
        <v>340</v>
      </c>
      <c r="F29" s="43" t="str">
        <f aca="false">INDEX(RawMaterials!$B$2:$B$11,MATCH($E29,RawMaterials!$A$2:$A$11,0))</f>
        <v>Corrugated Board / Cartons</v>
      </c>
      <c r="G29" s="58" t="n">
        <v>0.6</v>
      </c>
      <c r="H29" s="59" t="n">
        <f aca="false">INDEX(RawMaterials!$I$2:$I$11,MATCH($E29,RawMaterials!$A$2:$A$11,0))</f>
        <v>0.97</v>
      </c>
      <c r="I29" s="60" t="n">
        <f aca="false">G29/H29</f>
        <v>0.618556701030928</v>
      </c>
      <c r="J29" s="44" t="n">
        <f aca="false">INDEX(RawMaterials!$G$2:$G$11,MATCH($E29,RawMaterials!$A$2:$A$11,0))</f>
        <v>52</v>
      </c>
      <c r="K29" s="61" t="n">
        <f aca="false">I29*J29</f>
        <v>32.1649484536083</v>
      </c>
      <c r="L29" s="60" t="n">
        <f aca="false">I29-G29</f>
        <v>0.0185567010309279</v>
      </c>
      <c r="M29" s="32" t="n">
        <f aca="false">IF(SUMIFS($K$2:$K$400,$B$2:$B$400,$B29)=0,0,K29/SUMIFS($K$2:$K$400,$B$2:$B$400,$B29))</f>
        <v>0.0579569236335216</v>
      </c>
      <c r="O29" s="57"/>
    </row>
    <row r="30" customFormat="false" ht="15" hidden="false" customHeight="false" outlineLevel="0" collapsed="false">
      <c r="A30" s="7" t="s">
        <v>507</v>
      </c>
      <c r="B30" s="42" t="s">
        <v>208</v>
      </c>
      <c r="C30" s="43" t="str">
        <f aca="false">INDEX(Products!$B$2:$B$16,MATCH($B30,Products!$A$2:$A$16,0))</f>
        <v>Exhaust Fan 230 mm</v>
      </c>
      <c r="D30" s="36" t="s">
        <v>475</v>
      </c>
      <c r="E30" s="42" t="s">
        <v>277</v>
      </c>
      <c r="F30" s="43" t="str">
        <f aca="false">INDEX(RawMaterials!$B$2:$B$11,MATCH($E30,RawMaterials!$A$2:$A$11,0))</f>
        <v>CRNGO Electrical Steel Coil</v>
      </c>
      <c r="G30" s="58" t="n">
        <v>0.16</v>
      </c>
      <c r="H30" s="59" t="n">
        <f aca="false">INDEX(RawMaterials!$I$2:$I$11,MATCH($E30,RawMaterials!$A$2:$A$11,0))</f>
        <v>0.7</v>
      </c>
      <c r="I30" s="60" t="n">
        <f aca="false">G30/H30</f>
        <v>0.228571428571429</v>
      </c>
      <c r="J30" s="44" t="n">
        <f aca="false">INDEX(RawMaterials!$G$2:$G$11,MATCH($E30,RawMaterials!$A$2:$A$11,0))</f>
        <v>93.4</v>
      </c>
      <c r="K30" s="61" t="n">
        <f aca="false">I30*J30</f>
        <v>21.3485714285714</v>
      </c>
      <c r="L30" s="60" t="n">
        <f aca="false">I30-G30</f>
        <v>0.0685714285714286</v>
      </c>
      <c r="M30" s="32" t="n">
        <f aca="false">IF(SUMIFS($K$2:$K$400,$B$2:$B$400,$B30)=0,0,K30/SUMIFS($K$2:$K$400,$B$2:$B$400,$B30))</f>
        <v>0.0677015886838372</v>
      </c>
      <c r="O30" s="57"/>
    </row>
    <row r="31" customFormat="false" ht="15" hidden="false" customHeight="false" outlineLevel="0" collapsed="false">
      <c r="A31" s="7" t="s">
        <v>508</v>
      </c>
      <c r="B31" s="42" t="s">
        <v>208</v>
      </c>
      <c r="C31" s="43" t="str">
        <f aca="false">INDEX(Products!$B$2:$B$16,MATCH($B31,Products!$A$2:$A$16,0))</f>
        <v>Exhaust Fan 230 mm</v>
      </c>
      <c r="D31" s="36" t="s">
        <v>475</v>
      </c>
      <c r="E31" s="42" t="s">
        <v>300</v>
      </c>
      <c r="F31" s="43" t="str">
        <f aca="false">INDEX(RawMaterials!$B$2:$B$11,MATCH($E31,RawMaterials!$A$2:$A$11,0))</f>
        <v>Enamelled Copper Winding Wire</v>
      </c>
      <c r="G31" s="58" t="n">
        <v>0.09</v>
      </c>
      <c r="H31" s="59" t="n">
        <f aca="false">INDEX(RawMaterials!$I$2:$I$11,MATCH($E31,RawMaterials!$A$2:$A$11,0))</f>
        <v>0.98</v>
      </c>
      <c r="I31" s="60" t="n">
        <f aca="false">G31/H31</f>
        <v>0.0918367346938776</v>
      </c>
      <c r="J31" s="44" t="n">
        <f aca="false">INDEX(RawMaterials!$G$2:$G$11,MATCH($E31,RawMaterials!$A$2:$A$11,0))</f>
        <v>1336.25</v>
      </c>
      <c r="K31" s="61" t="n">
        <f aca="false">I31*J31</f>
        <v>122.716836734694</v>
      </c>
      <c r="L31" s="60" t="n">
        <f aca="false">I31-G31</f>
        <v>0.00183673469387756</v>
      </c>
      <c r="M31" s="32" t="n">
        <f aca="false">IF(SUMIFS($K$2:$K$400,$B$2:$B$400,$B31)=0,0,K31/SUMIFS($K$2:$K$400,$B$2:$B$400,$B31))</f>
        <v>0.389165374975622</v>
      </c>
      <c r="O31" s="57"/>
    </row>
    <row r="32" customFormat="false" ht="15" hidden="false" customHeight="false" outlineLevel="0" collapsed="false">
      <c r="A32" s="7" t="s">
        <v>509</v>
      </c>
      <c r="B32" s="42" t="s">
        <v>208</v>
      </c>
      <c r="C32" s="43" t="str">
        <f aca="false">INDEX(Products!$B$2:$B$16,MATCH($B32,Products!$A$2:$A$16,0))</f>
        <v>Exhaust Fan 230 mm</v>
      </c>
      <c r="D32" s="36" t="s">
        <v>475</v>
      </c>
      <c r="E32" s="42" t="s">
        <v>292</v>
      </c>
      <c r="F32" s="43" t="str">
        <f aca="false">INDEX(RawMaterials!$B$2:$B$11,MATCH($E32,RawMaterials!$A$2:$A$11,0))</f>
        <v>Aluminium Alloy Ingot (ADC12)</v>
      </c>
      <c r="G32" s="58" t="n">
        <v>0.08</v>
      </c>
      <c r="H32" s="59" t="n">
        <f aca="false">INDEX(RawMaterials!$I$2:$I$11,MATCH($E32,RawMaterials!$A$2:$A$11,0))</f>
        <v>0.92</v>
      </c>
      <c r="I32" s="60" t="n">
        <f aca="false">G32/H32</f>
        <v>0.0869565217391304</v>
      </c>
      <c r="J32" s="44" t="n">
        <f aca="false">INDEX(RawMaterials!$G$2:$G$11,MATCH($E32,RawMaterials!$A$2:$A$11,0))</f>
        <v>261.5</v>
      </c>
      <c r="K32" s="61" t="n">
        <f aca="false">I32*J32</f>
        <v>22.7391304347826</v>
      </c>
      <c r="L32" s="60" t="n">
        <f aca="false">I32-G32</f>
        <v>0.00695652173913043</v>
      </c>
      <c r="M32" s="32" t="n">
        <f aca="false">IF(SUMIFS($K$2:$K$400,$B$2:$B$400,$B32)=0,0,K32/SUMIFS($K$2:$K$400,$B$2:$B$400,$B32))</f>
        <v>0.0721113944731426</v>
      </c>
      <c r="O32" s="57"/>
    </row>
    <row r="33" customFormat="false" ht="15" hidden="false" customHeight="false" outlineLevel="0" collapsed="false">
      <c r="A33" s="7" t="s">
        <v>510</v>
      </c>
      <c r="B33" s="42" t="s">
        <v>208</v>
      </c>
      <c r="C33" s="43" t="str">
        <f aca="false">INDEX(Products!$B$2:$B$16,MATCH($B33,Products!$A$2:$A$16,0))</f>
        <v>Exhaust Fan 230 mm</v>
      </c>
      <c r="D33" s="36" t="s">
        <v>494</v>
      </c>
      <c r="E33" s="42" t="s">
        <v>306</v>
      </c>
      <c r="F33" s="43" t="str">
        <f aca="false">INDEX(RawMaterials!$B$2:$B$11,MATCH($E33,RawMaterials!$A$2:$A$11,0))</f>
        <v>Polypropylene (PP) Granules</v>
      </c>
      <c r="G33" s="58" t="n">
        <v>0.2</v>
      </c>
      <c r="H33" s="59" t="n">
        <f aca="false">INDEX(RawMaterials!$I$2:$I$11,MATCH($E33,RawMaterials!$A$2:$A$11,0))</f>
        <v>0.97</v>
      </c>
      <c r="I33" s="60" t="n">
        <f aca="false">G33/H33</f>
        <v>0.206185567010309</v>
      </c>
      <c r="J33" s="44" t="n">
        <f aca="false">INDEX(RawMaterials!$G$2:$G$11,MATCH($E33,RawMaterials!$A$2:$A$11,0))</f>
        <v>107</v>
      </c>
      <c r="K33" s="61" t="n">
        <f aca="false">I33*J33</f>
        <v>22.0618556701031</v>
      </c>
      <c r="L33" s="60" t="n">
        <f aca="false">I33-G33</f>
        <v>0.00618556701030928</v>
      </c>
      <c r="M33" s="32" t="n">
        <f aca="false">IF(SUMIFS($K$2:$K$400,$B$2:$B$400,$B33)=0,0,K33/SUMIFS($K$2:$K$400,$B$2:$B$400,$B33))</f>
        <v>0.0699635890474873</v>
      </c>
      <c r="O33" s="57"/>
    </row>
    <row r="34" customFormat="false" ht="15" hidden="false" customHeight="false" outlineLevel="0" collapsed="false">
      <c r="A34" s="7" t="s">
        <v>511</v>
      </c>
      <c r="B34" s="42" t="s">
        <v>208</v>
      </c>
      <c r="C34" s="43" t="str">
        <f aca="false">INDEX(Products!$B$2:$B$16,MATCH($B34,Products!$A$2:$A$16,0))</f>
        <v>Exhaust Fan 230 mm</v>
      </c>
      <c r="D34" s="36" t="s">
        <v>480</v>
      </c>
      <c r="E34" s="42" t="s">
        <v>286</v>
      </c>
      <c r="F34" s="43" t="str">
        <f aca="false">INDEX(RawMaterials!$B$2:$B$11,MATCH($E34,RawMaterials!$A$2:$A$11,0))</f>
        <v>CRCA Steel Sheet / Coil</v>
      </c>
      <c r="G34" s="58" t="n">
        <v>0.45</v>
      </c>
      <c r="H34" s="59" t="n">
        <f aca="false">INDEX(RawMaterials!$I$2:$I$11,MATCH($E34,RawMaterials!$A$2:$A$11,0))</f>
        <v>0.85</v>
      </c>
      <c r="I34" s="60" t="n">
        <f aca="false">G34/H34</f>
        <v>0.529411764705882</v>
      </c>
      <c r="J34" s="44" t="n">
        <f aca="false">INDEX(RawMaterials!$G$2:$G$11,MATCH($E34,RawMaterials!$A$2:$A$11,0))</f>
        <v>66.65</v>
      </c>
      <c r="K34" s="61" t="n">
        <f aca="false">I34*J34</f>
        <v>35.2852941176471</v>
      </c>
      <c r="L34" s="60" t="n">
        <f aca="false">I34-G34</f>
        <v>0.0794117647058824</v>
      </c>
      <c r="M34" s="32" t="n">
        <f aca="false">IF(SUMIFS($K$2:$K$400,$B$2:$B$400,$B34)=0,0,K34/SUMIFS($K$2:$K$400,$B$2:$B$400,$B34))</f>
        <v>0.111898375820317</v>
      </c>
      <c r="O34" s="57"/>
    </row>
    <row r="35" customFormat="false" ht="15" hidden="false" customHeight="false" outlineLevel="0" collapsed="false">
      <c r="A35" s="7" t="s">
        <v>512</v>
      </c>
      <c r="B35" s="42" t="s">
        <v>208</v>
      </c>
      <c r="C35" s="43" t="str">
        <f aca="false">INDEX(Products!$B$2:$B$16,MATCH($B35,Products!$A$2:$A$16,0))</f>
        <v>Exhaust Fan 230 mm</v>
      </c>
      <c r="D35" s="36" t="s">
        <v>480</v>
      </c>
      <c r="E35" s="42" t="s">
        <v>313</v>
      </c>
      <c r="F35" s="43" t="str">
        <f aca="false">INDEX(RawMaterials!$B$2:$B$11,MATCH($E35,RawMaterials!$A$2:$A$11,0))</f>
        <v>ABS Granules</v>
      </c>
      <c r="G35" s="58" t="n">
        <v>0.38</v>
      </c>
      <c r="H35" s="59" t="n">
        <f aca="false">INDEX(RawMaterials!$I$2:$I$11,MATCH($E35,RawMaterials!$A$2:$A$11,0))</f>
        <v>0.97</v>
      </c>
      <c r="I35" s="60" t="n">
        <f aca="false">G35/H35</f>
        <v>0.391752577319588</v>
      </c>
      <c r="J35" s="44" t="n">
        <f aca="false">INDEX(RawMaterials!$G$2:$G$11,MATCH($E35,RawMaterials!$A$2:$A$11,0))</f>
        <v>156</v>
      </c>
      <c r="K35" s="61" t="n">
        <f aca="false">I35*J35</f>
        <v>61.1134020618557</v>
      </c>
      <c r="L35" s="60" t="n">
        <f aca="false">I35-G35</f>
        <v>0.0117525773195876</v>
      </c>
      <c r="M35" s="32" t="n">
        <f aca="false">IF(SUMIFS($K$2:$K$400,$B$2:$B$400,$B35)=0,0,K35/SUMIFS($K$2:$K$400,$B$2:$B$400,$B35))</f>
        <v>0.193805680314722</v>
      </c>
      <c r="O35" s="57"/>
    </row>
    <row r="36" customFormat="false" ht="15" hidden="false" customHeight="false" outlineLevel="0" collapsed="false">
      <c r="A36" s="7" t="s">
        <v>513</v>
      </c>
      <c r="B36" s="42" t="s">
        <v>208</v>
      </c>
      <c r="C36" s="43" t="str">
        <f aca="false">INDEX(Products!$B$2:$B$16,MATCH($B36,Products!$A$2:$A$16,0))</f>
        <v>Exhaust Fan 230 mm</v>
      </c>
      <c r="D36" s="36" t="s">
        <v>482</v>
      </c>
      <c r="E36" s="42" t="s">
        <v>333</v>
      </c>
      <c r="F36" s="43" t="str">
        <f aca="false">INDEX(RawMaterials!$B$2:$B$11,MATCH($E36,RawMaterials!$A$2:$A$11,0))</f>
        <v>Powder Coating (Epoxy-Polyester)</v>
      </c>
      <c r="G36" s="58" t="n">
        <v>0.02</v>
      </c>
      <c r="H36" s="59" t="n">
        <f aca="false">INDEX(RawMaterials!$I$2:$I$11,MATCH($E36,RawMaterials!$A$2:$A$11,0))</f>
        <v>0.8</v>
      </c>
      <c r="I36" s="60" t="n">
        <f aca="false">G36/H36</f>
        <v>0.025</v>
      </c>
      <c r="J36" s="44" t="n">
        <f aca="false">INDEX(RawMaterials!$G$2:$G$11,MATCH($E36,RawMaterials!$A$2:$A$11,0))</f>
        <v>345</v>
      </c>
      <c r="K36" s="61" t="n">
        <f aca="false">I36*J36</f>
        <v>8.625</v>
      </c>
      <c r="L36" s="60" t="n">
        <f aca="false">I36-G36</f>
        <v>0.005</v>
      </c>
      <c r="M36" s="32" t="n">
        <f aca="false">IF(SUMIFS($K$2:$K$400,$B$2:$B$400,$B36)=0,0,K36/SUMIFS($K$2:$K$400,$B$2:$B$400,$B36))</f>
        <v>0.0273520035919879</v>
      </c>
      <c r="O36" s="57"/>
    </row>
    <row r="37" customFormat="false" ht="15" hidden="false" customHeight="false" outlineLevel="0" collapsed="false">
      <c r="A37" s="7" t="s">
        <v>514</v>
      </c>
      <c r="B37" s="42" t="s">
        <v>208</v>
      </c>
      <c r="C37" s="43" t="str">
        <f aca="false">INDEX(Products!$B$2:$B$16,MATCH($B37,Products!$A$2:$A$16,0))</f>
        <v>Exhaust Fan 230 mm</v>
      </c>
      <c r="D37" s="36" t="s">
        <v>344</v>
      </c>
      <c r="E37" s="42" t="s">
        <v>340</v>
      </c>
      <c r="F37" s="43" t="str">
        <f aca="false">INDEX(RawMaterials!$B$2:$B$11,MATCH($E37,RawMaterials!$A$2:$A$11,0))</f>
        <v>Corrugated Board / Cartons</v>
      </c>
      <c r="G37" s="58" t="n">
        <v>0.4</v>
      </c>
      <c r="H37" s="59" t="n">
        <f aca="false">INDEX(RawMaterials!$I$2:$I$11,MATCH($E37,RawMaterials!$A$2:$A$11,0))</f>
        <v>0.97</v>
      </c>
      <c r="I37" s="60" t="n">
        <f aca="false">G37/H37</f>
        <v>0.412371134020619</v>
      </c>
      <c r="J37" s="44" t="n">
        <f aca="false">INDEX(RawMaterials!$G$2:$G$11,MATCH($E37,RawMaterials!$A$2:$A$11,0))</f>
        <v>52</v>
      </c>
      <c r="K37" s="61" t="n">
        <f aca="false">I37*J37</f>
        <v>21.4432989690722</v>
      </c>
      <c r="L37" s="60" t="n">
        <f aca="false">I37-G37</f>
        <v>0.0123711340206186</v>
      </c>
      <c r="M37" s="32" t="n">
        <f aca="false">IF(SUMIFS($K$2:$K$400,$B$2:$B$400,$B37)=0,0,K37/SUMIFS($K$2:$K$400,$B$2:$B$400,$B37))</f>
        <v>0.0680019930928849</v>
      </c>
      <c r="O37" s="57"/>
    </row>
    <row r="38" customFormat="false" ht="15" hidden="false" customHeight="false" outlineLevel="0" collapsed="false">
      <c r="A38" s="7" t="s">
        <v>515</v>
      </c>
      <c r="B38" s="42" t="s">
        <v>212</v>
      </c>
      <c r="C38" s="43" t="str">
        <f aca="false">INDEX(Products!$B$2:$B$16,MATCH($B38,Products!$A$2:$A$16,0))</f>
        <v>Personal Air Cooler 30 L</v>
      </c>
      <c r="D38" s="36" t="s">
        <v>475</v>
      </c>
      <c r="E38" s="42" t="s">
        <v>277</v>
      </c>
      <c r="F38" s="43" t="str">
        <f aca="false">INDEX(RawMaterials!$B$2:$B$11,MATCH($E38,RawMaterials!$A$2:$A$11,0))</f>
        <v>CRNGO Electrical Steel Coil</v>
      </c>
      <c r="G38" s="58" t="n">
        <v>0.22</v>
      </c>
      <c r="H38" s="59" t="n">
        <f aca="false">INDEX(RawMaterials!$I$2:$I$11,MATCH($E38,RawMaterials!$A$2:$A$11,0))</f>
        <v>0.7</v>
      </c>
      <c r="I38" s="60" t="n">
        <f aca="false">G38/H38</f>
        <v>0.314285714285714</v>
      </c>
      <c r="J38" s="44" t="n">
        <f aca="false">INDEX(RawMaterials!$G$2:$G$11,MATCH($E38,RawMaterials!$A$2:$A$11,0))</f>
        <v>93.4</v>
      </c>
      <c r="K38" s="61" t="n">
        <f aca="false">I38*J38</f>
        <v>29.3542857142857</v>
      </c>
      <c r="L38" s="60" t="n">
        <f aca="false">I38-G38</f>
        <v>0.0942857142857143</v>
      </c>
      <c r="M38" s="32" t="n">
        <f aca="false">IF(SUMIFS($K$2:$K$400,$B$2:$B$400,$B38)=0,0,K38/SUMIFS($K$2:$K$400,$B$2:$B$400,$B38))</f>
        <v>0.0326765314972504</v>
      </c>
      <c r="O38" s="57"/>
    </row>
    <row r="39" customFormat="false" ht="15" hidden="false" customHeight="false" outlineLevel="0" collapsed="false">
      <c r="A39" s="7" t="s">
        <v>516</v>
      </c>
      <c r="B39" s="42" t="s">
        <v>212</v>
      </c>
      <c r="C39" s="43" t="str">
        <f aca="false">INDEX(Products!$B$2:$B$16,MATCH($B39,Products!$A$2:$A$16,0))</f>
        <v>Personal Air Cooler 30 L</v>
      </c>
      <c r="D39" s="36" t="s">
        <v>475</v>
      </c>
      <c r="E39" s="42" t="s">
        <v>300</v>
      </c>
      <c r="F39" s="43" t="str">
        <f aca="false">INDEX(RawMaterials!$B$2:$B$11,MATCH($E39,RawMaterials!$A$2:$A$11,0))</f>
        <v>Enamelled Copper Winding Wire</v>
      </c>
      <c r="G39" s="58" t="n">
        <v>0.12</v>
      </c>
      <c r="H39" s="59" t="n">
        <f aca="false">INDEX(RawMaterials!$I$2:$I$11,MATCH($E39,RawMaterials!$A$2:$A$11,0))</f>
        <v>0.98</v>
      </c>
      <c r="I39" s="60" t="n">
        <f aca="false">G39/H39</f>
        <v>0.122448979591837</v>
      </c>
      <c r="J39" s="44" t="n">
        <f aca="false">INDEX(RawMaterials!$G$2:$G$11,MATCH($E39,RawMaterials!$A$2:$A$11,0))</f>
        <v>1336.25</v>
      </c>
      <c r="K39" s="61" t="n">
        <f aca="false">I39*J39</f>
        <v>163.622448979592</v>
      </c>
      <c r="L39" s="60" t="n">
        <f aca="false">I39-G39</f>
        <v>0.00244897959183674</v>
      </c>
      <c r="M39" s="32" t="n">
        <f aca="false">IF(SUMIFS($K$2:$K$400,$B$2:$B$400,$B39)=0,0,K39/SUMIFS($K$2:$K$400,$B$2:$B$400,$B39))</f>
        <v>0.182140834894745</v>
      </c>
      <c r="O39" s="57"/>
    </row>
    <row r="40" customFormat="false" ht="15" hidden="false" customHeight="false" outlineLevel="0" collapsed="false">
      <c r="A40" s="7" t="s">
        <v>517</v>
      </c>
      <c r="B40" s="42" t="s">
        <v>212</v>
      </c>
      <c r="C40" s="43" t="str">
        <f aca="false">INDEX(Products!$B$2:$B$16,MATCH($B40,Products!$A$2:$A$16,0))</f>
        <v>Personal Air Cooler 30 L</v>
      </c>
      <c r="D40" s="36" t="s">
        <v>475</v>
      </c>
      <c r="E40" s="42" t="s">
        <v>292</v>
      </c>
      <c r="F40" s="43" t="str">
        <f aca="false">INDEX(RawMaterials!$B$2:$B$11,MATCH($E40,RawMaterials!$A$2:$A$11,0))</f>
        <v>Aluminium Alloy Ingot (ADC12)</v>
      </c>
      <c r="G40" s="58" t="n">
        <v>0.1</v>
      </c>
      <c r="H40" s="59" t="n">
        <f aca="false">INDEX(RawMaterials!$I$2:$I$11,MATCH($E40,RawMaterials!$A$2:$A$11,0))</f>
        <v>0.92</v>
      </c>
      <c r="I40" s="60" t="n">
        <f aca="false">G40/H40</f>
        <v>0.108695652173913</v>
      </c>
      <c r="J40" s="44" t="n">
        <f aca="false">INDEX(RawMaterials!$G$2:$G$11,MATCH($E40,RawMaterials!$A$2:$A$11,0))</f>
        <v>261.5</v>
      </c>
      <c r="K40" s="61" t="n">
        <f aca="false">I40*J40</f>
        <v>28.4239130434783</v>
      </c>
      <c r="L40" s="60" t="n">
        <f aca="false">I40-G40</f>
        <v>0.00869565217391304</v>
      </c>
      <c r="M40" s="32" t="n">
        <f aca="false">IF(SUMIFS($K$2:$K$400,$B$2:$B$400,$B40)=0,0,K40/SUMIFS($K$2:$K$400,$B$2:$B$400,$B40))</f>
        <v>0.0316408615382629</v>
      </c>
      <c r="O40" s="57"/>
    </row>
    <row r="41" customFormat="false" ht="15" hidden="false" customHeight="false" outlineLevel="0" collapsed="false">
      <c r="A41" s="7" t="s">
        <v>518</v>
      </c>
      <c r="B41" s="42" t="s">
        <v>212</v>
      </c>
      <c r="C41" s="43" t="str">
        <f aca="false">INDEX(Products!$B$2:$B$16,MATCH($B41,Products!$A$2:$A$16,0))</f>
        <v>Personal Air Cooler 30 L</v>
      </c>
      <c r="D41" s="36" t="s">
        <v>480</v>
      </c>
      <c r="E41" s="42" t="s">
        <v>306</v>
      </c>
      <c r="F41" s="43" t="str">
        <f aca="false">INDEX(RawMaterials!$B$2:$B$11,MATCH($E41,RawMaterials!$A$2:$A$11,0))</f>
        <v>Polypropylene (PP) Granules</v>
      </c>
      <c r="G41" s="58" t="n">
        <v>4.6</v>
      </c>
      <c r="H41" s="59" t="n">
        <f aca="false">INDEX(RawMaterials!$I$2:$I$11,MATCH($E41,RawMaterials!$A$2:$A$11,0))</f>
        <v>0.97</v>
      </c>
      <c r="I41" s="60" t="n">
        <f aca="false">G41/H41</f>
        <v>4.74226804123711</v>
      </c>
      <c r="J41" s="44" t="n">
        <f aca="false">INDEX(RawMaterials!$G$2:$G$11,MATCH($E41,RawMaterials!$A$2:$A$11,0))</f>
        <v>107</v>
      </c>
      <c r="K41" s="61" t="n">
        <f aca="false">I41*J41</f>
        <v>507.422680412371</v>
      </c>
      <c r="L41" s="60" t="n">
        <f aca="false">I41-G41</f>
        <v>0.142268041237114</v>
      </c>
      <c r="M41" s="32" t="n">
        <f aca="false">IF(SUMIFS($K$2:$K$400,$B$2:$B$400,$B41)=0,0,K41/SUMIFS($K$2:$K$400,$B$2:$B$400,$B41))</f>
        <v>0.564851530038925</v>
      </c>
      <c r="O41" s="57"/>
    </row>
    <row r="42" customFormat="false" ht="15" hidden="false" customHeight="false" outlineLevel="0" collapsed="false">
      <c r="A42" s="7" t="s">
        <v>519</v>
      </c>
      <c r="B42" s="42" t="s">
        <v>212</v>
      </c>
      <c r="C42" s="43" t="str">
        <f aca="false">INDEX(Products!$B$2:$B$16,MATCH($B42,Products!$A$2:$A$16,0))</f>
        <v>Personal Air Cooler 30 L</v>
      </c>
      <c r="D42" s="36" t="s">
        <v>480</v>
      </c>
      <c r="E42" s="42" t="s">
        <v>313</v>
      </c>
      <c r="F42" s="43" t="str">
        <f aca="false">INDEX(RawMaterials!$B$2:$B$11,MATCH($E42,RawMaterials!$A$2:$A$11,0))</f>
        <v>ABS Granules</v>
      </c>
      <c r="G42" s="58" t="n">
        <v>0.35</v>
      </c>
      <c r="H42" s="59" t="n">
        <f aca="false">INDEX(RawMaterials!$I$2:$I$11,MATCH($E42,RawMaterials!$A$2:$A$11,0))</f>
        <v>0.97</v>
      </c>
      <c r="I42" s="60" t="n">
        <f aca="false">G42/H42</f>
        <v>0.360824742268041</v>
      </c>
      <c r="J42" s="44" t="n">
        <f aca="false">INDEX(RawMaterials!$G$2:$G$11,MATCH($E42,RawMaterials!$A$2:$A$11,0))</f>
        <v>156</v>
      </c>
      <c r="K42" s="61" t="n">
        <f aca="false">I42*J42</f>
        <v>56.2886597938144</v>
      </c>
      <c r="L42" s="60" t="n">
        <f aca="false">I42-G42</f>
        <v>0.0108247422680413</v>
      </c>
      <c r="M42" s="32" t="n">
        <f aca="false">IF(SUMIFS($K$2:$K$400,$B$2:$B$400,$B42)=0,0,K42/SUMIFS($K$2:$K$400,$B$2:$B$400,$B42))</f>
        <v>0.0626592717190681</v>
      </c>
      <c r="O42" s="57"/>
    </row>
    <row r="43" customFormat="false" ht="15" hidden="false" customHeight="false" outlineLevel="0" collapsed="false">
      <c r="A43" s="7" t="s">
        <v>520</v>
      </c>
      <c r="B43" s="42" t="s">
        <v>212</v>
      </c>
      <c r="C43" s="43" t="str">
        <f aca="false">INDEX(Products!$B$2:$B$16,MATCH($B43,Products!$A$2:$A$16,0))</f>
        <v>Personal Air Cooler 30 L</v>
      </c>
      <c r="D43" s="36" t="s">
        <v>480</v>
      </c>
      <c r="E43" s="42" t="s">
        <v>286</v>
      </c>
      <c r="F43" s="43" t="str">
        <f aca="false">INDEX(RawMaterials!$B$2:$B$11,MATCH($E43,RawMaterials!$A$2:$A$11,0))</f>
        <v>CRCA Steel Sheet / Coil</v>
      </c>
      <c r="G43" s="58" t="n">
        <v>0.35</v>
      </c>
      <c r="H43" s="59" t="n">
        <f aca="false">INDEX(RawMaterials!$I$2:$I$11,MATCH($E43,RawMaterials!$A$2:$A$11,0))</f>
        <v>0.85</v>
      </c>
      <c r="I43" s="60" t="n">
        <f aca="false">G43/H43</f>
        <v>0.411764705882353</v>
      </c>
      <c r="J43" s="44" t="n">
        <f aca="false">INDEX(RawMaterials!$G$2:$G$11,MATCH($E43,RawMaterials!$A$2:$A$11,0))</f>
        <v>66.65</v>
      </c>
      <c r="K43" s="61" t="n">
        <f aca="false">I43*J43</f>
        <v>27.4441176470588</v>
      </c>
      <c r="L43" s="60" t="n">
        <f aca="false">I43-G43</f>
        <v>0.0617647058823529</v>
      </c>
      <c r="M43" s="32" t="n">
        <f aca="false">IF(SUMIFS($K$2:$K$400,$B$2:$B$400,$B43)=0,0,K43/SUMIFS($K$2:$K$400,$B$2:$B$400,$B43))</f>
        <v>0.030550175311264</v>
      </c>
      <c r="O43" s="57"/>
    </row>
    <row r="44" customFormat="false" ht="15" hidden="false" customHeight="false" outlineLevel="0" collapsed="false">
      <c r="A44" s="7" t="s">
        <v>521</v>
      </c>
      <c r="B44" s="42" t="s">
        <v>212</v>
      </c>
      <c r="C44" s="43" t="str">
        <f aca="false">INDEX(Products!$B$2:$B$16,MATCH($B44,Products!$A$2:$A$16,0))</f>
        <v>Personal Air Cooler 30 L</v>
      </c>
      <c r="D44" s="36" t="s">
        <v>344</v>
      </c>
      <c r="E44" s="42" t="s">
        <v>340</v>
      </c>
      <c r="F44" s="43" t="str">
        <f aca="false">INDEX(RawMaterials!$B$2:$B$11,MATCH($E44,RawMaterials!$A$2:$A$11,0))</f>
        <v>Corrugated Board / Cartons</v>
      </c>
      <c r="G44" s="58" t="n">
        <v>1.6</v>
      </c>
      <c r="H44" s="59" t="n">
        <f aca="false">INDEX(RawMaterials!$I$2:$I$11,MATCH($E44,RawMaterials!$A$2:$A$11,0))</f>
        <v>0.97</v>
      </c>
      <c r="I44" s="60" t="n">
        <f aca="false">G44/H44</f>
        <v>1.64948453608247</v>
      </c>
      <c r="J44" s="44" t="n">
        <f aca="false">INDEX(RawMaterials!$G$2:$G$11,MATCH($E44,RawMaterials!$A$2:$A$11,0))</f>
        <v>52</v>
      </c>
      <c r="K44" s="61" t="n">
        <f aca="false">I44*J44</f>
        <v>85.7731958762887</v>
      </c>
      <c r="L44" s="60" t="n">
        <f aca="false">I44-G44</f>
        <v>0.0494845360824743</v>
      </c>
      <c r="M44" s="32" t="n">
        <f aca="false">IF(SUMIFS($K$2:$K$400,$B$2:$B$400,$B44)=0,0,K44/SUMIFS($K$2:$K$400,$B$2:$B$400,$B44))</f>
        <v>0.0954807950004847</v>
      </c>
      <c r="O44" s="57"/>
    </row>
    <row r="45" customFormat="false" ht="15" hidden="false" customHeight="false" outlineLevel="0" collapsed="false">
      <c r="A45" s="7" t="s">
        <v>522</v>
      </c>
      <c r="B45" s="42" t="s">
        <v>216</v>
      </c>
      <c r="C45" s="43" t="str">
        <f aca="false">INDEX(Products!$B$2:$B$16,MATCH($B45,Products!$A$2:$A$16,0))</f>
        <v>Mixer Grinder 500 W</v>
      </c>
      <c r="D45" s="36" t="s">
        <v>475</v>
      </c>
      <c r="E45" s="42" t="s">
        <v>277</v>
      </c>
      <c r="F45" s="43" t="str">
        <f aca="false">INDEX(RawMaterials!$B$2:$B$11,MATCH($E45,RawMaterials!$A$2:$A$11,0))</f>
        <v>CRNGO Electrical Steel Coil</v>
      </c>
      <c r="G45" s="58" t="n">
        <v>0.45</v>
      </c>
      <c r="H45" s="59" t="n">
        <f aca="false">INDEX(RawMaterials!$I$2:$I$11,MATCH($E45,RawMaterials!$A$2:$A$11,0))</f>
        <v>0.7</v>
      </c>
      <c r="I45" s="60" t="n">
        <f aca="false">G45/H45</f>
        <v>0.642857142857143</v>
      </c>
      <c r="J45" s="44" t="n">
        <f aca="false">INDEX(RawMaterials!$G$2:$G$11,MATCH($E45,RawMaterials!$A$2:$A$11,0))</f>
        <v>93.4</v>
      </c>
      <c r="K45" s="61" t="n">
        <f aca="false">I45*J45</f>
        <v>60.0428571428571</v>
      </c>
      <c r="L45" s="60" t="n">
        <f aca="false">I45-G45</f>
        <v>0.192857142857143</v>
      </c>
      <c r="M45" s="32" t="n">
        <f aca="false">IF(SUMIFS($K$2:$K$400,$B$2:$B$400,$B45)=0,0,K45/SUMIFS($K$2:$K$400,$B$2:$B$400,$B45))</f>
        <v>0.0778726647661759</v>
      </c>
      <c r="O45" s="57"/>
    </row>
    <row r="46" customFormat="false" ht="15" hidden="false" customHeight="false" outlineLevel="0" collapsed="false">
      <c r="A46" s="7" t="s">
        <v>523</v>
      </c>
      <c r="B46" s="42" t="s">
        <v>216</v>
      </c>
      <c r="C46" s="43" t="str">
        <f aca="false">INDEX(Products!$B$2:$B$16,MATCH($B46,Products!$A$2:$A$16,0))</f>
        <v>Mixer Grinder 500 W</v>
      </c>
      <c r="D46" s="36" t="s">
        <v>475</v>
      </c>
      <c r="E46" s="42" t="s">
        <v>300</v>
      </c>
      <c r="F46" s="43" t="str">
        <f aca="false">INDEX(RawMaterials!$B$2:$B$11,MATCH($E46,RawMaterials!$A$2:$A$11,0))</f>
        <v>Enamelled Copper Winding Wire</v>
      </c>
      <c r="G46" s="58" t="n">
        <v>0.22</v>
      </c>
      <c r="H46" s="59" t="n">
        <f aca="false">INDEX(RawMaterials!$I$2:$I$11,MATCH($E46,RawMaterials!$A$2:$A$11,0))</f>
        <v>0.98</v>
      </c>
      <c r="I46" s="60" t="n">
        <f aca="false">G46/H46</f>
        <v>0.224489795918367</v>
      </c>
      <c r="J46" s="44" t="n">
        <f aca="false">INDEX(RawMaterials!$G$2:$G$11,MATCH($E46,RawMaterials!$A$2:$A$11,0))</f>
        <v>1336.25</v>
      </c>
      <c r="K46" s="61" t="n">
        <f aca="false">I46*J46</f>
        <v>299.974489795918</v>
      </c>
      <c r="L46" s="60" t="n">
        <f aca="false">I46-G46</f>
        <v>0.00448979591836735</v>
      </c>
      <c r="M46" s="32" t="n">
        <f aca="false">IF(SUMIFS($K$2:$K$400,$B$2:$B$400,$B46)=0,0,K46/SUMIFS($K$2:$K$400,$B$2:$B$400,$B46))</f>
        <v>0.389052320190282</v>
      </c>
      <c r="O46" s="57"/>
    </row>
    <row r="47" customFormat="false" ht="15" hidden="false" customHeight="false" outlineLevel="0" collapsed="false">
      <c r="A47" s="7" t="s">
        <v>524</v>
      </c>
      <c r="B47" s="42" t="s">
        <v>216</v>
      </c>
      <c r="C47" s="43" t="str">
        <f aca="false">INDEX(Products!$B$2:$B$16,MATCH($B47,Products!$A$2:$A$16,0))</f>
        <v>Mixer Grinder 500 W</v>
      </c>
      <c r="D47" s="36" t="s">
        <v>475</v>
      </c>
      <c r="E47" s="42" t="s">
        <v>292</v>
      </c>
      <c r="F47" s="43" t="str">
        <f aca="false">INDEX(RawMaterials!$B$2:$B$11,MATCH($E47,RawMaterials!$A$2:$A$11,0))</f>
        <v>Aluminium Alloy Ingot (ADC12)</v>
      </c>
      <c r="G47" s="58" t="n">
        <v>0.35</v>
      </c>
      <c r="H47" s="59" t="n">
        <f aca="false">INDEX(RawMaterials!$I$2:$I$11,MATCH($E47,RawMaterials!$A$2:$A$11,0))</f>
        <v>0.92</v>
      </c>
      <c r="I47" s="60" t="n">
        <f aca="false">G47/H47</f>
        <v>0.380434782608696</v>
      </c>
      <c r="J47" s="44" t="n">
        <f aca="false">INDEX(RawMaterials!$G$2:$G$11,MATCH($E47,RawMaterials!$A$2:$A$11,0))</f>
        <v>261.5</v>
      </c>
      <c r="K47" s="61" t="n">
        <f aca="false">I47*J47</f>
        <v>99.4836956521739</v>
      </c>
      <c r="L47" s="60" t="n">
        <f aca="false">I47-G47</f>
        <v>0.0304347826086956</v>
      </c>
      <c r="M47" s="32" t="n">
        <f aca="false">IF(SUMIFS($K$2:$K$400,$B$2:$B$400,$B47)=0,0,K47/SUMIFS($K$2:$K$400,$B$2:$B$400,$B47))</f>
        <v>0.129025513605886</v>
      </c>
      <c r="O47" s="57"/>
    </row>
    <row r="48" customFormat="false" ht="15" hidden="false" customHeight="false" outlineLevel="0" collapsed="false">
      <c r="A48" s="7" t="s">
        <v>525</v>
      </c>
      <c r="B48" s="42" t="s">
        <v>216</v>
      </c>
      <c r="C48" s="43" t="str">
        <f aca="false">INDEX(Products!$B$2:$B$16,MATCH($B48,Products!$A$2:$A$16,0))</f>
        <v>Mixer Grinder 500 W</v>
      </c>
      <c r="D48" s="36" t="s">
        <v>526</v>
      </c>
      <c r="E48" s="42" t="s">
        <v>319</v>
      </c>
      <c r="F48" s="43" t="str">
        <f aca="false">INDEX(RawMaterials!$B$2:$B$11,MATCH($E48,RawMaterials!$A$2:$A$11,0))</f>
        <v>Stainless Steel 304 Sheet</v>
      </c>
      <c r="G48" s="58" t="n">
        <v>0.6</v>
      </c>
      <c r="H48" s="59" t="n">
        <f aca="false">INDEX(RawMaterials!$I$2:$I$11,MATCH($E48,RawMaterials!$A$2:$A$11,0))</f>
        <v>0.82</v>
      </c>
      <c r="I48" s="60" t="n">
        <f aca="false">G48/H48</f>
        <v>0.731707317073171</v>
      </c>
      <c r="J48" s="44" t="n">
        <f aca="false">INDEX(RawMaterials!$G$2:$G$11,MATCH($E48,RawMaterials!$A$2:$A$11,0))</f>
        <v>206.5</v>
      </c>
      <c r="K48" s="61" t="n">
        <f aca="false">I48*J48</f>
        <v>151.09756097561</v>
      </c>
      <c r="L48" s="60" t="n">
        <f aca="false">I48-G48</f>
        <v>0.131707317073171</v>
      </c>
      <c r="M48" s="32" t="n">
        <f aca="false">IF(SUMIFS($K$2:$K$400,$B$2:$B$400,$B48)=0,0,K48/SUMIFS($K$2:$K$400,$B$2:$B$400,$B48))</f>
        <v>0.195966186033508</v>
      </c>
      <c r="O48" s="57"/>
    </row>
    <row r="49" customFormat="false" ht="15" hidden="false" customHeight="false" outlineLevel="0" collapsed="false">
      <c r="A49" s="7" t="s">
        <v>527</v>
      </c>
      <c r="B49" s="42" t="s">
        <v>216</v>
      </c>
      <c r="C49" s="43" t="str">
        <f aca="false">INDEX(Products!$B$2:$B$16,MATCH($B49,Products!$A$2:$A$16,0))</f>
        <v>Mixer Grinder 500 W</v>
      </c>
      <c r="D49" s="36" t="s">
        <v>480</v>
      </c>
      <c r="E49" s="42" t="s">
        <v>313</v>
      </c>
      <c r="F49" s="43" t="str">
        <f aca="false">INDEX(RawMaterials!$B$2:$B$11,MATCH($E49,RawMaterials!$A$2:$A$11,0))</f>
        <v>ABS Granules</v>
      </c>
      <c r="G49" s="58" t="n">
        <v>0.55</v>
      </c>
      <c r="H49" s="59" t="n">
        <f aca="false">INDEX(RawMaterials!$I$2:$I$11,MATCH($E49,RawMaterials!$A$2:$A$11,0))</f>
        <v>0.97</v>
      </c>
      <c r="I49" s="60" t="n">
        <f aca="false">G49/H49</f>
        <v>0.567010309278351</v>
      </c>
      <c r="J49" s="44" t="n">
        <f aca="false">INDEX(RawMaterials!$G$2:$G$11,MATCH($E49,RawMaterials!$A$2:$A$11,0))</f>
        <v>156</v>
      </c>
      <c r="K49" s="61" t="n">
        <f aca="false">I49*J49</f>
        <v>88.4536082474227</v>
      </c>
      <c r="L49" s="60" t="n">
        <f aca="false">I49-G49</f>
        <v>0.0170103092783506</v>
      </c>
      <c r="M49" s="32" t="n">
        <f aca="false">IF(SUMIFS($K$2:$K$400,$B$2:$B$400,$B49)=0,0,K49/SUMIFS($K$2:$K$400,$B$2:$B$400,$B49))</f>
        <v>0.114720026830529</v>
      </c>
      <c r="O49" s="57"/>
    </row>
    <row r="50" customFormat="false" ht="15" hidden="false" customHeight="false" outlineLevel="0" collapsed="false">
      <c r="A50" s="7" t="s">
        <v>528</v>
      </c>
      <c r="B50" s="42" t="s">
        <v>216</v>
      </c>
      <c r="C50" s="43" t="str">
        <f aca="false">INDEX(Products!$B$2:$B$16,MATCH($B50,Products!$A$2:$A$16,0))</f>
        <v>Mixer Grinder 500 W</v>
      </c>
      <c r="D50" s="36" t="s">
        <v>480</v>
      </c>
      <c r="E50" s="42" t="s">
        <v>286</v>
      </c>
      <c r="F50" s="43" t="str">
        <f aca="false">INDEX(RawMaterials!$B$2:$B$11,MATCH($E50,RawMaterials!$A$2:$A$11,0))</f>
        <v>CRCA Steel Sheet / Coil</v>
      </c>
      <c r="G50" s="58" t="n">
        <v>0.12</v>
      </c>
      <c r="H50" s="59" t="n">
        <f aca="false">INDEX(RawMaterials!$I$2:$I$11,MATCH($E50,RawMaterials!$A$2:$A$11,0))</f>
        <v>0.85</v>
      </c>
      <c r="I50" s="60" t="n">
        <f aca="false">G50/H50</f>
        <v>0.141176470588235</v>
      </c>
      <c r="J50" s="44" t="n">
        <f aca="false">INDEX(RawMaterials!$G$2:$G$11,MATCH($E50,RawMaterials!$A$2:$A$11,0))</f>
        <v>66.65</v>
      </c>
      <c r="K50" s="61" t="n">
        <f aca="false">I50*J50</f>
        <v>9.40941176470588</v>
      </c>
      <c r="L50" s="60" t="n">
        <f aca="false">I50-G50</f>
        <v>0.0211764705882353</v>
      </c>
      <c r="M50" s="32" t="n">
        <f aca="false">IF(SUMIFS($K$2:$K$400,$B$2:$B$400,$B50)=0,0,K50/SUMIFS($K$2:$K$400,$B$2:$B$400,$B50))</f>
        <v>0.0122035493123935</v>
      </c>
      <c r="O50" s="57"/>
    </row>
    <row r="51" customFormat="false" ht="15" hidden="false" customHeight="false" outlineLevel="0" collapsed="false">
      <c r="A51" s="7" t="s">
        <v>529</v>
      </c>
      <c r="B51" s="42" t="s">
        <v>216</v>
      </c>
      <c r="C51" s="43" t="str">
        <f aca="false">INDEX(Products!$B$2:$B$16,MATCH($B51,Products!$A$2:$A$16,0))</f>
        <v>Mixer Grinder 500 W</v>
      </c>
      <c r="D51" s="36" t="s">
        <v>480</v>
      </c>
      <c r="E51" s="42" t="s">
        <v>306</v>
      </c>
      <c r="F51" s="43" t="str">
        <f aca="false">INDEX(RawMaterials!$B$2:$B$11,MATCH($E51,RawMaterials!$A$2:$A$11,0))</f>
        <v>Polypropylene (PP) Granules</v>
      </c>
      <c r="G51" s="58" t="n">
        <v>0.3</v>
      </c>
      <c r="H51" s="59" t="n">
        <f aca="false">INDEX(RawMaterials!$I$2:$I$11,MATCH($E51,RawMaterials!$A$2:$A$11,0))</f>
        <v>0.97</v>
      </c>
      <c r="I51" s="60" t="n">
        <f aca="false">G51/H51</f>
        <v>0.309278350515464</v>
      </c>
      <c r="J51" s="44" t="n">
        <f aca="false">INDEX(RawMaterials!$G$2:$G$11,MATCH($E51,RawMaterials!$A$2:$A$11,0))</f>
        <v>107</v>
      </c>
      <c r="K51" s="61" t="n">
        <f aca="false">I51*J51</f>
        <v>33.0927835051546</v>
      </c>
      <c r="L51" s="60" t="n">
        <f aca="false">I51-G51</f>
        <v>0.00927835051546394</v>
      </c>
      <c r="M51" s="32" t="n">
        <f aca="false">IF(SUMIFS($K$2:$K$400,$B$2:$B$400,$B51)=0,0,K51/SUMIFS($K$2:$K$400,$B$2:$B$400,$B51))</f>
        <v>0.0429197303177155</v>
      </c>
      <c r="O51" s="57"/>
    </row>
    <row r="52" customFormat="false" ht="15" hidden="false" customHeight="false" outlineLevel="0" collapsed="false">
      <c r="A52" s="7" t="s">
        <v>530</v>
      </c>
      <c r="B52" s="42" t="s">
        <v>216</v>
      </c>
      <c r="C52" s="43" t="str">
        <f aca="false">INDEX(Products!$B$2:$B$16,MATCH($B52,Products!$A$2:$A$16,0))</f>
        <v>Mixer Grinder 500 W</v>
      </c>
      <c r="D52" s="36" t="s">
        <v>344</v>
      </c>
      <c r="E52" s="42" t="s">
        <v>340</v>
      </c>
      <c r="F52" s="43" t="str">
        <f aca="false">INDEX(RawMaterials!$B$2:$B$11,MATCH($E52,RawMaterials!$A$2:$A$11,0))</f>
        <v>Corrugated Board / Cartons</v>
      </c>
      <c r="G52" s="58" t="n">
        <v>0.55</v>
      </c>
      <c r="H52" s="59" t="n">
        <f aca="false">INDEX(RawMaterials!$I$2:$I$11,MATCH($E52,RawMaterials!$A$2:$A$11,0))</f>
        <v>0.97</v>
      </c>
      <c r="I52" s="60" t="n">
        <f aca="false">G52/H52</f>
        <v>0.567010309278351</v>
      </c>
      <c r="J52" s="44" t="n">
        <f aca="false">INDEX(RawMaterials!$G$2:$G$11,MATCH($E52,RawMaterials!$A$2:$A$11,0))</f>
        <v>52</v>
      </c>
      <c r="K52" s="61" t="n">
        <f aca="false">I52*J52</f>
        <v>29.4845360824742</v>
      </c>
      <c r="L52" s="60" t="n">
        <f aca="false">I52-G52</f>
        <v>0.0170103092783506</v>
      </c>
      <c r="M52" s="32" t="n">
        <f aca="false">IF(SUMIFS($K$2:$K$400,$B$2:$B$400,$B52)=0,0,K52/SUMIFS($K$2:$K$400,$B$2:$B$400,$B52))</f>
        <v>0.0382400089435097</v>
      </c>
      <c r="O52" s="57"/>
    </row>
    <row r="53" customFormat="false" ht="15" hidden="false" customHeight="false" outlineLevel="0" collapsed="false">
      <c r="A53" s="7" t="s">
        <v>531</v>
      </c>
      <c r="B53" s="42" t="s">
        <v>222</v>
      </c>
      <c r="C53" s="43" t="str">
        <f aca="false">INDEX(Products!$B$2:$B$16,MATCH($B53,Products!$A$2:$A$16,0))</f>
        <v>Mixer Grinder 750 W</v>
      </c>
      <c r="D53" s="36" t="s">
        <v>475</v>
      </c>
      <c r="E53" s="42" t="s">
        <v>277</v>
      </c>
      <c r="F53" s="43" t="str">
        <f aca="false">INDEX(RawMaterials!$B$2:$B$11,MATCH($E53,RawMaterials!$A$2:$A$11,0))</f>
        <v>CRNGO Electrical Steel Coil</v>
      </c>
      <c r="G53" s="58" t="n">
        <v>0.62</v>
      </c>
      <c r="H53" s="59" t="n">
        <f aca="false">INDEX(RawMaterials!$I$2:$I$11,MATCH($E53,RawMaterials!$A$2:$A$11,0))</f>
        <v>0.7</v>
      </c>
      <c r="I53" s="60" t="n">
        <f aca="false">G53/H53</f>
        <v>0.885714285714286</v>
      </c>
      <c r="J53" s="44" t="n">
        <f aca="false">INDEX(RawMaterials!$G$2:$G$11,MATCH($E53,RawMaterials!$A$2:$A$11,0))</f>
        <v>93.4</v>
      </c>
      <c r="K53" s="61" t="n">
        <f aca="false">I53*J53</f>
        <v>82.7257142857143</v>
      </c>
      <c r="L53" s="60" t="n">
        <f aca="false">I53-G53</f>
        <v>0.265714285714286</v>
      </c>
      <c r="M53" s="32" t="n">
        <f aca="false">IF(SUMIFS($K$2:$K$400,$B$2:$B$400,$B53)=0,0,K53/SUMIFS($K$2:$K$400,$B$2:$B$400,$B53))</f>
        <v>0.0821621785635562</v>
      </c>
      <c r="O53" s="57"/>
    </row>
    <row r="54" customFormat="false" ht="15" hidden="false" customHeight="false" outlineLevel="0" collapsed="false">
      <c r="A54" s="7" t="s">
        <v>532</v>
      </c>
      <c r="B54" s="42" t="s">
        <v>222</v>
      </c>
      <c r="C54" s="43" t="str">
        <f aca="false">INDEX(Products!$B$2:$B$16,MATCH($B54,Products!$A$2:$A$16,0))</f>
        <v>Mixer Grinder 750 W</v>
      </c>
      <c r="D54" s="36" t="s">
        <v>475</v>
      </c>
      <c r="E54" s="42" t="s">
        <v>300</v>
      </c>
      <c r="F54" s="43" t="str">
        <f aca="false">INDEX(RawMaterials!$B$2:$B$11,MATCH($E54,RawMaterials!$A$2:$A$11,0))</f>
        <v>Enamelled Copper Winding Wire</v>
      </c>
      <c r="G54" s="58" t="n">
        <v>0.3</v>
      </c>
      <c r="H54" s="59" t="n">
        <f aca="false">INDEX(RawMaterials!$I$2:$I$11,MATCH($E54,RawMaterials!$A$2:$A$11,0))</f>
        <v>0.98</v>
      </c>
      <c r="I54" s="60" t="n">
        <f aca="false">G54/H54</f>
        <v>0.306122448979592</v>
      </c>
      <c r="J54" s="44" t="n">
        <f aca="false">INDEX(RawMaterials!$G$2:$G$11,MATCH($E54,RawMaterials!$A$2:$A$11,0))</f>
        <v>1336.25</v>
      </c>
      <c r="K54" s="61" t="n">
        <f aca="false">I54*J54</f>
        <v>409.05612244898</v>
      </c>
      <c r="L54" s="60" t="n">
        <f aca="false">I54-G54</f>
        <v>0.00612244897959186</v>
      </c>
      <c r="M54" s="32" t="n">
        <f aca="false">IF(SUMIFS($K$2:$K$400,$B$2:$B$400,$B54)=0,0,K54/SUMIFS($K$2:$K$400,$B$2:$B$400,$B54))</f>
        <v>0.406269591811465</v>
      </c>
      <c r="O54" s="57"/>
    </row>
    <row r="55" customFormat="false" ht="15" hidden="false" customHeight="false" outlineLevel="0" collapsed="false">
      <c r="A55" s="7" t="s">
        <v>533</v>
      </c>
      <c r="B55" s="42" t="s">
        <v>222</v>
      </c>
      <c r="C55" s="43" t="str">
        <f aca="false">INDEX(Products!$B$2:$B$16,MATCH($B55,Products!$A$2:$A$16,0))</f>
        <v>Mixer Grinder 750 W</v>
      </c>
      <c r="D55" s="36" t="s">
        <v>475</v>
      </c>
      <c r="E55" s="42" t="s">
        <v>292</v>
      </c>
      <c r="F55" s="43" t="str">
        <f aca="false">INDEX(RawMaterials!$B$2:$B$11,MATCH($E55,RawMaterials!$A$2:$A$11,0))</f>
        <v>Aluminium Alloy Ingot (ADC12)</v>
      </c>
      <c r="G55" s="58" t="n">
        <v>0.48</v>
      </c>
      <c r="H55" s="59" t="n">
        <f aca="false">INDEX(RawMaterials!$I$2:$I$11,MATCH($E55,RawMaterials!$A$2:$A$11,0))</f>
        <v>0.92</v>
      </c>
      <c r="I55" s="60" t="n">
        <f aca="false">G55/H55</f>
        <v>0.521739130434783</v>
      </c>
      <c r="J55" s="44" t="n">
        <f aca="false">INDEX(RawMaterials!$G$2:$G$11,MATCH($E55,RawMaterials!$A$2:$A$11,0))</f>
        <v>261.5</v>
      </c>
      <c r="K55" s="61" t="n">
        <f aca="false">I55*J55</f>
        <v>136.434782608696</v>
      </c>
      <c r="L55" s="60" t="n">
        <f aca="false">I55-G55</f>
        <v>0.0417391304347826</v>
      </c>
      <c r="M55" s="32" t="n">
        <f aca="false">IF(SUMIFS($K$2:$K$400,$B$2:$B$400,$B55)=0,0,K55/SUMIFS($K$2:$K$400,$B$2:$B$400,$B55))</f>
        <v>0.13550537541761</v>
      </c>
      <c r="O55" s="57"/>
    </row>
    <row r="56" customFormat="false" ht="15" hidden="false" customHeight="false" outlineLevel="0" collapsed="false">
      <c r="A56" s="7" t="s">
        <v>534</v>
      </c>
      <c r="B56" s="42" t="s">
        <v>222</v>
      </c>
      <c r="C56" s="43" t="str">
        <f aca="false">INDEX(Products!$B$2:$B$16,MATCH($B56,Products!$A$2:$A$16,0))</f>
        <v>Mixer Grinder 750 W</v>
      </c>
      <c r="D56" s="36" t="s">
        <v>526</v>
      </c>
      <c r="E56" s="42" t="s">
        <v>319</v>
      </c>
      <c r="F56" s="43" t="str">
        <f aca="false">INDEX(RawMaterials!$B$2:$B$11,MATCH($E56,RawMaterials!$A$2:$A$11,0))</f>
        <v>Stainless Steel 304 Sheet</v>
      </c>
      <c r="G56" s="58" t="n">
        <v>0.78</v>
      </c>
      <c r="H56" s="59" t="n">
        <f aca="false">INDEX(RawMaterials!$I$2:$I$11,MATCH($E56,RawMaterials!$A$2:$A$11,0))</f>
        <v>0.82</v>
      </c>
      <c r="I56" s="60" t="n">
        <f aca="false">G56/H56</f>
        <v>0.951219512195122</v>
      </c>
      <c r="J56" s="44" t="n">
        <f aca="false">INDEX(RawMaterials!$G$2:$G$11,MATCH($E56,RawMaterials!$A$2:$A$11,0))</f>
        <v>206.5</v>
      </c>
      <c r="K56" s="61" t="n">
        <f aca="false">I56*J56</f>
        <v>196.426829268293</v>
      </c>
      <c r="L56" s="60" t="n">
        <f aca="false">I56-G56</f>
        <v>0.171219512195122</v>
      </c>
      <c r="M56" s="32" t="n">
        <f aca="false">IF(SUMIFS($K$2:$K$400,$B$2:$B$400,$B56)=0,0,K56/SUMIFS($K$2:$K$400,$B$2:$B$400,$B56))</f>
        <v>0.195088750340372</v>
      </c>
      <c r="O56" s="57"/>
    </row>
    <row r="57" customFormat="false" ht="15" hidden="false" customHeight="false" outlineLevel="0" collapsed="false">
      <c r="A57" s="7" t="s">
        <v>535</v>
      </c>
      <c r="B57" s="42" t="s">
        <v>222</v>
      </c>
      <c r="C57" s="43" t="str">
        <f aca="false">INDEX(Products!$B$2:$B$16,MATCH($B57,Products!$A$2:$A$16,0))</f>
        <v>Mixer Grinder 750 W</v>
      </c>
      <c r="D57" s="36" t="s">
        <v>480</v>
      </c>
      <c r="E57" s="42" t="s">
        <v>313</v>
      </c>
      <c r="F57" s="43" t="str">
        <f aca="false">INDEX(RawMaterials!$B$2:$B$11,MATCH($E57,RawMaterials!$A$2:$A$11,0))</f>
        <v>ABS Granules</v>
      </c>
      <c r="G57" s="58" t="n">
        <v>0.62</v>
      </c>
      <c r="H57" s="59" t="n">
        <f aca="false">INDEX(RawMaterials!$I$2:$I$11,MATCH($E57,RawMaterials!$A$2:$A$11,0))</f>
        <v>0.97</v>
      </c>
      <c r="I57" s="60" t="n">
        <f aca="false">G57/H57</f>
        <v>0.639175257731959</v>
      </c>
      <c r="J57" s="44" t="n">
        <f aca="false">INDEX(RawMaterials!$G$2:$G$11,MATCH($E57,RawMaterials!$A$2:$A$11,0))</f>
        <v>156</v>
      </c>
      <c r="K57" s="61" t="n">
        <f aca="false">I57*J57</f>
        <v>99.7113402061856</v>
      </c>
      <c r="L57" s="60" t="n">
        <f aca="false">I57-G57</f>
        <v>0.0191752577319588</v>
      </c>
      <c r="M57" s="32" t="n">
        <f aca="false">IF(SUMIFS($K$2:$K$400,$B$2:$B$400,$B57)=0,0,K57/SUMIFS($K$2:$K$400,$B$2:$B$400,$B57))</f>
        <v>0.0990320967255386</v>
      </c>
      <c r="O57" s="57"/>
    </row>
    <row r="58" customFormat="false" ht="15" hidden="false" customHeight="false" outlineLevel="0" collapsed="false">
      <c r="A58" s="7" t="s">
        <v>536</v>
      </c>
      <c r="B58" s="42" t="s">
        <v>222</v>
      </c>
      <c r="C58" s="43" t="str">
        <f aca="false">INDEX(Products!$B$2:$B$16,MATCH($B58,Products!$A$2:$A$16,0))</f>
        <v>Mixer Grinder 750 W</v>
      </c>
      <c r="D58" s="36" t="s">
        <v>480</v>
      </c>
      <c r="E58" s="42" t="s">
        <v>286</v>
      </c>
      <c r="F58" s="43" t="str">
        <f aca="false">INDEX(RawMaterials!$B$2:$B$11,MATCH($E58,RawMaterials!$A$2:$A$11,0))</f>
        <v>CRCA Steel Sheet / Coil</v>
      </c>
      <c r="G58" s="58" t="n">
        <v>0.15</v>
      </c>
      <c r="H58" s="59" t="n">
        <f aca="false">INDEX(RawMaterials!$I$2:$I$11,MATCH($E58,RawMaterials!$A$2:$A$11,0))</f>
        <v>0.85</v>
      </c>
      <c r="I58" s="60" t="n">
        <f aca="false">G58/H58</f>
        <v>0.176470588235294</v>
      </c>
      <c r="J58" s="44" t="n">
        <f aca="false">INDEX(RawMaterials!$G$2:$G$11,MATCH($E58,RawMaterials!$A$2:$A$11,0))</f>
        <v>66.65</v>
      </c>
      <c r="K58" s="61" t="n">
        <f aca="false">I58*J58</f>
        <v>11.7617647058824</v>
      </c>
      <c r="L58" s="60" t="n">
        <f aca="false">I58-G58</f>
        <v>0.0264705882352941</v>
      </c>
      <c r="M58" s="32" t="n">
        <f aca="false">IF(SUMIFS($K$2:$K$400,$B$2:$B$400,$B58)=0,0,K58/SUMIFS($K$2:$K$400,$B$2:$B$400,$B58))</f>
        <v>0.0116816424050402</v>
      </c>
      <c r="O58" s="57"/>
    </row>
    <row r="59" customFormat="false" ht="15" hidden="false" customHeight="false" outlineLevel="0" collapsed="false">
      <c r="A59" s="7" t="s">
        <v>537</v>
      </c>
      <c r="B59" s="42" t="s">
        <v>222</v>
      </c>
      <c r="C59" s="43" t="str">
        <f aca="false">INDEX(Products!$B$2:$B$16,MATCH($B59,Products!$A$2:$A$16,0))</f>
        <v>Mixer Grinder 750 W</v>
      </c>
      <c r="D59" s="36" t="s">
        <v>480</v>
      </c>
      <c r="E59" s="42" t="s">
        <v>306</v>
      </c>
      <c r="F59" s="43" t="str">
        <f aca="false">INDEX(RawMaterials!$B$2:$B$11,MATCH($E59,RawMaterials!$A$2:$A$11,0))</f>
        <v>Polypropylene (PP) Granules</v>
      </c>
      <c r="G59" s="58" t="n">
        <v>0.34</v>
      </c>
      <c r="H59" s="59" t="n">
        <f aca="false">INDEX(RawMaterials!$I$2:$I$11,MATCH($E59,RawMaterials!$A$2:$A$11,0))</f>
        <v>0.97</v>
      </c>
      <c r="I59" s="60" t="n">
        <f aca="false">G59/H59</f>
        <v>0.350515463917526</v>
      </c>
      <c r="J59" s="44" t="n">
        <f aca="false">INDEX(RawMaterials!$G$2:$G$11,MATCH($E59,RawMaterials!$A$2:$A$11,0))</f>
        <v>107</v>
      </c>
      <c r="K59" s="61" t="n">
        <f aca="false">I59*J59</f>
        <v>37.5051546391753</v>
      </c>
      <c r="L59" s="60" t="n">
        <f aca="false">I59-G59</f>
        <v>0.0105154639175258</v>
      </c>
      <c r="M59" s="32" t="n">
        <f aca="false">IF(SUMIFS($K$2:$K$400,$B$2:$B$400,$B59)=0,0,K59/SUMIFS($K$2:$K$400,$B$2:$B$400,$B59))</f>
        <v>0.0372496658279062</v>
      </c>
      <c r="O59" s="57"/>
    </row>
    <row r="60" customFormat="false" ht="15" hidden="false" customHeight="false" outlineLevel="0" collapsed="false">
      <c r="A60" s="7" t="s">
        <v>538</v>
      </c>
      <c r="B60" s="42" t="s">
        <v>222</v>
      </c>
      <c r="C60" s="43" t="str">
        <f aca="false">INDEX(Products!$B$2:$B$16,MATCH($B60,Products!$A$2:$A$16,0))</f>
        <v>Mixer Grinder 750 W</v>
      </c>
      <c r="D60" s="36" t="s">
        <v>344</v>
      </c>
      <c r="E60" s="42" t="s">
        <v>340</v>
      </c>
      <c r="F60" s="43" t="str">
        <f aca="false">INDEX(RawMaterials!$B$2:$B$11,MATCH($E60,RawMaterials!$A$2:$A$11,0))</f>
        <v>Corrugated Board / Cartons</v>
      </c>
      <c r="G60" s="58" t="n">
        <v>0.62</v>
      </c>
      <c r="H60" s="59" t="n">
        <f aca="false">INDEX(RawMaterials!$I$2:$I$11,MATCH($E60,RawMaterials!$A$2:$A$11,0))</f>
        <v>0.97</v>
      </c>
      <c r="I60" s="60" t="n">
        <f aca="false">G60/H60</f>
        <v>0.639175257731959</v>
      </c>
      <c r="J60" s="44" t="n">
        <f aca="false">INDEX(RawMaterials!$G$2:$G$11,MATCH($E60,RawMaterials!$A$2:$A$11,0))</f>
        <v>52</v>
      </c>
      <c r="K60" s="61" t="n">
        <f aca="false">I60*J60</f>
        <v>33.2371134020619</v>
      </c>
      <c r="L60" s="60" t="n">
        <f aca="false">I60-G60</f>
        <v>0.0191752577319588</v>
      </c>
      <c r="M60" s="32" t="n">
        <f aca="false">IF(SUMIFS($K$2:$K$400,$B$2:$B$400,$B60)=0,0,K60/SUMIFS($K$2:$K$400,$B$2:$B$400,$B60))</f>
        <v>0.0330106989085128</v>
      </c>
      <c r="O60" s="57"/>
    </row>
    <row r="61" customFormat="false" ht="15" hidden="false" customHeight="false" outlineLevel="0" collapsed="false">
      <c r="A61" s="7" t="s">
        <v>539</v>
      </c>
      <c r="B61" s="42" t="s">
        <v>225</v>
      </c>
      <c r="C61" s="43" t="str">
        <f aca="false">INDEX(Products!$B$2:$B$16,MATCH($B61,Products!$A$2:$A$16,0))</f>
        <v>Electric Kettle 1.5 L</v>
      </c>
      <c r="D61" s="36" t="s">
        <v>540</v>
      </c>
      <c r="E61" s="42" t="s">
        <v>326</v>
      </c>
      <c r="F61" s="43" t="str">
        <f aca="false">INDEX(RawMaterials!$B$2:$B$11,MATCH($E61,RawMaterials!$A$2:$A$11,0))</f>
        <v>Nichrome Resistance Wire (Ni80/Cr20)</v>
      </c>
      <c r="G61" s="58" t="n">
        <v>0.012</v>
      </c>
      <c r="H61" s="59" t="n">
        <f aca="false">INDEX(RawMaterials!$I$2:$I$11,MATCH($E61,RawMaterials!$A$2:$A$11,0))</f>
        <v>0.96</v>
      </c>
      <c r="I61" s="60" t="n">
        <f aca="false">G61/H61</f>
        <v>0.0125</v>
      </c>
      <c r="J61" s="44" t="n">
        <f aca="false">INDEX(RawMaterials!$G$2:$G$11,MATCH($E61,RawMaterials!$A$2:$A$11,0))</f>
        <v>2080</v>
      </c>
      <c r="K61" s="61" t="n">
        <f aca="false">I61*J61</f>
        <v>26</v>
      </c>
      <c r="L61" s="60" t="n">
        <f aca="false">I61-G61</f>
        <v>0.0005</v>
      </c>
      <c r="M61" s="32" t="n">
        <f aca="false">IF(SUMIFS($K$2:$K$400,$B$2:$B$400,$B61)=0,0,K61/SUMIFS($K$2:$K$400,$B$2:$B$400,$B61))</f>
        <v>0.131934648954081</v>
      </c>
      <c r="O61" s="57"/>
    </row>
    <row r="62" customFormat="false" ht="15" hidden="false" customHeight="false" outlineLevel="0" collapsed="false">
      <c r="A62" s="7" t="s">
        <v>541</v>
      </c>
      <c r="B62" s="42" t="s">
        <v>225</v>
      </c>
      <c r="C62" s="43" t="str">
        <f aca="false">INDEX(Products!$B$2:$B$16,MATCH($B62,Products!$A$2:$A$16,0))</f>
        <v>Electric Kettle 1.5 L</v>
      </c>
      <c r="D62" s="36" t="s">
        <v>480</v>
      </c>
      <c r="E62" s="42" t="s">
        <v>319</v>
      </c>
      <c r="F62" s="43" t="str">
        <f aca="false">INDEX(RawMaterials!$B$2:$B$11,MATCH($E62,RawMaterials!$A$2:$A$11,0))</f>
        <v>Stainless Steel 304 Sheet</v>
      </c>
      <c r="G62" s="58" t="n">
        <v>0.42</v>
      </c>
      <c r="H62" s="59" t="n">
        <f aca="false">INDEX(RawMaterials!$I$2:$I$11,MATCH($E62,RawMaterials!$A$2:$A$11,0))</f>
        <v>0.82</v>
      </c>
      <c r="I62" s="60" t="n">
        <f aca="false">G62/H62</f>
        <v>0.51219512195122</v>
      </c>
      <c r="J62" s="44" t="n">
        <f aca="false">INDEX(RawMaterials!$G$2:$G$11,MATCH($E62,RawMaterials!$A$2:$A$11,0))</f>
        <v>206.5</v>
      </c>
      <c r="K62" s="61" t="n">
        <f aca="false">I62*J62</f>
        <v>105.768292682927</v>
      </c>
      <c r="L62" s="60" t="n">
        <f aca="false">I62-G62</f>
        <v>0.0921951219512195</v>
      </c>
      <c r="M62" s="32" t="n">
        <f aca="false">IF(SUMIFS($K$2:$K$400,$B$2:$B$400,$B62)=0,0,K62/SUMIFS($K$2:$K$400,$B$2:$B$400,$B62))</f>
        <v>0.536711637138247</v>
      </c>
      <c r="O62" s="57"/>
    </row>
    <row r="63" customFormat="false" ht="15" hidden="false" customHeight="false" outlineLevel="0" collapsed="false">
      <c r="A63" s="7" t="s">
        <v>542</v>
      </c>
      <c r="B63" s="42" t="s">
        <v>225</v>
      </c>
      <c r="C63" s="43" t="str">
        <f aca="false">INDEX(Products!$B$2:$B$16,MATCH($B63,Products!$A$2:$A$16,0))</f>
        <v>Electric Kettle 1.5 L</v>
      </c>
      <c r="D63" s="36" t="s">
        <v>480</v>
      </c>
      <c r="E63" s="42" t="s">
        <v>306</v>
      </c>
      <c r="F63" s="43" t="str">
        <f aca="false">INDEX(RawMaterials!$B$2:$B$11,MATCH($E63,RawMaterials!$A$2:$A$11,0))</f>
        <v>Polypropylene (PP) Granules</v>
      </c>
      <c r="G63" s="58" t="n">
        <v>0.14</v>
      </c>
      <c r="H63" s="59" t="n">
        <f aca="false">INDEX(RawMaterials!$I$2:$I$11,MATCH($E63,RawMaterials!$A$2:$A$11,0))</f>
        <v>0.97</v>
      </c>
      <c r="I63" s="60" t="n">
        <f aca="false">G63/H63</f>
        <v>0.144329896907217</v>
      </c>
      <c r="J63" s="44" t="n">
        <f aca="false">INDEX(RawMaterials!$G$2:$G$11,MATCH($E63,RawMaterials!$A$2:$A$11,0))</f>
        <v>107</v>
      </c>
      <c r="K63" s="61" t="n">
        <f aca="false">I63*J63</f>
        <v>15.4432989690722</v>
      </c>
      <c r="L63" s="60" t="n">
        <f aca="false">I63-G63</f>
        <v>0.0043298969072165</v>
      </c>
      <c r="M63" s="32" t="n">
        <f aca="false">IF(SUMIFS($K$2:$K$400,$B$2:$B$400,$B63)=0,0,K63/SUMIFS($K$2:$K$400,$B$2:$B$400,$B63))</f>
        <v>0.0783656241606714</v>
      </c>
      <c r="O63" s="57"/>
    </row>
    <row r="64" customFormat="false" ht="15" hidden="false" customHeight="false" outlineLevel="0" collapsed="false">
      <c r="A64" s="7" t="s">
        <v>543</v>
      </c>
      <c r="B64" s="42" t="s">
        <v>225</v>
      </c>
      <c r="C64" s="43" t="str">
        <f aca="false">INDEX(Products!$B$2:$B$16,MATCH($B64,Products!$A$2:$A$16,0))</f>
        <v>Electric Kettle 1.5 L</v>
      </c>
      <c r="D64" s="36" t="s">
        <v>480</v>
      </c>
      <c r="E64" s="42" t="s">
        <v>313</v>
      </c>
      <c r="F64" s="43" t="str">
        <f aca="false">INDEX(RawMaterials!$B$2:$B$11,MATCH($E64,RawMaterials!$A$2:$A$11,0))</f>
        <v>ABS Granules</v>
      </c>
      <c r="G64" s="58" t="n">
        <v>0.2</v>
      </c>
      <c r="H64" s="59" t="n">
        <f aca="false">INDEX(RawMaterials!$I$2:$I$11,MATCH($E64,RawMaterials!$A$2:$A$11,0))</f>
        <v>0.97</v>
      </c>
      <c r="I64" s="60" t="n">
        <f aca="false">G64/H64</f>
        <v>0.206185567010309</v>
      </c>
      <c r="J64" s="44" t="n">
        <f aca="false">INDEX(RawMaterials!$G$2:$G$11,MATCH($E64,RawMaterials!$A$2:$A$11,0))</f>
        <v>156</v>
      </c>
      <c r="K64" s="61" t="n">
        <f aca="false">I64*J64</f>
        <v>32.1649484536083</v>
      </c>
      <c r="L64" s="60" t="n">
        <f aca="false">I64-G64</f>
        <v>0.00618556701030928</v>
      </c>
      <c r="M64" s="32" t="n">
        <f aca="false">IF(SUMIFS($K$2:$K$400,$B$2:$B$400,$B64)=0,0,K64/SUMIFS($K$2:$K$400,$B$2:$B$400,$B64))</f>
        <v>0.16321812241742</v>
      </c>
      <c r="O64" s="57"/>
    </row>
    <row r="65" customFormat="false" ht="15" hidden="false" customHeight="false" outlineLevel="0" collapsed="false">
      <c r="A65" s="7" t="s">
        <v>544</v>
      </c>
      <c r="B65" s="42" t="s">
        <v>225</v>
      </c>
      <c r="C65" s="43" t="str">
        <f aca="false">INDEX(Products!$B$2:$B$16,MATCH($B65,Products!$A$2:$A$16,0))</f>
        <v>Electric Kettle 1.5 L</v>
      </c>
      <c r="D65" s="36" t="s">
        <v>344</v>
      </c>
      <c r="E65" s="42" t="s">
        <v>340</v>
      </c>
      <c r="F65" s="43" t="str">
        <f aca="false">INDEX(RawMaterials!$B$2:$B$11,MATCH($E65,RawMaterials!$A$2:$A$11,0))</f>
        <v>Corrugated Board / Cartons</v>
      </c>
      <c r="G65" s="58" t="n">
        <v>0.33</v>
      </c>
      <c r="H65" s="59" t="n">
        <f aca="false">INDEX(RawMaterials!$I$2:$I$11,MATCH($E65,RawMaterials!$A$2:$A$11,0))</f>
        <v>0.97</v>
      </c>
      <c r="I65" s="60" t="n">
        <f aca="false">G65/H65</f>
        <v>0.34020618556701</v>
      </c>
      <c r="J65" s="44" t="n">
        <f aca="false">INDEX(RawMaterials!$G$2:$G$11,MATCH($E65,RawMaterials!$A$2:$A$11,0))</f>
        <v>52</v>
      </c>
      <c r="K65" s="61" t="n">
        <f aca="false">I65*J65</f>
        <v>17.6907216494845</v>
      </c>
      <c r="L65" s="60" t="n">
        <f aca="false">I65-G65</f>
        <v>0.0102061855670103</v>
      </c>
      <c r="M65" s="32" t="n">
        <f aca="false">IF(SUMIFS($K$2:$K$400,$B$2:$B$400,$B65)=0,0,K65/SUMIFS($K$2:$K$400,$B$2:$B$400,$B65))</f>
        <v>0.0897699673295808</v>
      </c>
      <c r="O65" s="57"/>
    </row>
    <row r="66" customFormat="false" ht="15" hidden="false" customHeight="false" outlineLevel="0" collapsed="false">
      <c r="A66" s="7" t="s">
        <v>545</v>
      </c>
      <c r="B66" s="42" t="s">
        <v>229</v>
      </c>
      <c r="C66" s="43" t="str">
        <f aca="false">INDEX(Products!$B$2:$B$16,MATCH($B66,Products!$A$2:$A$16,0))</f>
        <v>Induction Cooktop 2000 W</v>
      </c>
      <c r="D66" s="36" t="s">
        <v>475</v>
      </c>
      <c r="E66" s="42" t="s">
        <v>300</v>
      </c>
      <c r="F66" s="43" t="str">
        <f aca="false">INDEX(RawMaterials!$B$2:$B$11,MATCH($E66,RawMaterials!$A$2:$A$11,0))</f>
        <v>Enamelled Copper Winding Wire</v>
      </c>
      <c r="G66" s="58" t="n">
        <v>0.12</v>
      </c>
      <c r="H66" s="59" t="n">
        <f aca="false">INDEX(RawMaterials!$I$2:$I$11,MATCH($E66,RawMaterials!$A$2:$A$11,0))</f>
        <v>0.98</v>
      </c>
      <c r="I66" s="60" t="n">
        <f aca="false">G66/H66</f>
        <v>0.122448979591837</v>
      </c>
      <c r="J66" s="44" t="n">
        <f aca="false">INDEX(RawMaterials!$G$2:$G$11,MATCH($E66,RawMaterials!$A$2:$A$11,0))</f>
        <v>1336.25</v>
      </c>
      <c r="K66" s="61" t="n">
        <f aca="false">I66*J66</f>
        <v>163.622448979592</v>
      </c>
      <c r="L66" s="60" t="n">
        <f aca="false">I66-G66</f>
        <v>0.00244897959183674</v>
      </c>
      <c r="M66" s="32" t="n">
        <f aca="false">IF(SUMIFS($K$2:$K$400,$B$2:$B$400,$B66)=0,0,K66/SUMIFS($K$2:$K$400,$B$2:$B$400,$B66))</f>
        <v>0.440583130389015</v>
      </c>
      <c r="O66" s="57"/>
    </row>
    <row r="67" customFormat="false" ht="15" hidden="false" customHeight="false" outlineLevel="0" collapsed="false">
      <c r="A67" s="7" t="s">
        <v>546</v>
      </c>
      <c r="B67" s="42" t="s">
        <v>229</v>
      </c>
      <c r="C67" s="43" t="str">
        <f aca="false">INDEX(Products!$B$2:$B$16,MATCH($B67,Products!$A$2:$A$16,0))</f>
        <v>Induction Cooktop 2000 W</v>
      </c>
      <c r="D67" s="36" t="s">
        <v>475</v>
      </c>
      <c r="E67" s="42" t="s">
        <v>292</v>
      </c>
      <c r="F67" s="43" t="str">
        <f aca="false">INDEX(RawMaterials!$B$2:$B$11,MATCH($E67,RawMaterials!$A$2:$A$11,0))</f>
        <v>Aluminium Alloy Ingot (ADC12)</v>
      </c>
      <c r="G67" s="58" t="n">
        <v>0.18</v>
      </c>
      <c r="H67" s="59" t="n">
        <f aca="false">INDEX(RawMaterials!$I$2:$I$11,MATCH($E67,RawMaterials!$A$2:$A$11,0))</f>
        <v>0.92</v>
      </c>
      <c r="I67" s="60" t="n">
        <f aca="false">G67/H67</f>
        <v>0.195652173913043</v>
      </c>
      <c r="J67" s="44" t="n">
        <f aca="false">INDEX(RawMaterials!$G$2:$G$11,MATCH($E67,RawMaterials!$A$2:$A$11,0))</f>
        <v>261.5</v>
      </c>
      <c r="K67" s="61" t="n">
        <f aca="false">I67*J67</f>
        <v>51.1630434782609</v>
      </c>
      <c r="L67" s="60" t="n">
        <f aca="false">I67-G67</f>
        <v>0.0156521739130435</v>
      </c>
      <c r="M67" s="32" t="n">
        <f aca="false">IF(SUMIFS($K$2:$K$400,$B$2:$B$400,$B67)=0,0,K67/SUMIFS($K$2:$K$400,$B$2:$B$400,$B67))</f>
        <v>0.137765777229584</v>
      </c>
      <c r="O67" s="57"/>
    </row>
    <row r="68" customFormat="false" ht="15" hidden="false" customHeight="false" outlineLevel="0" collapsed="false">
      <c r="A68" s="7" t="s">
        <v>547</v>
      </c>
      <c r="B68" s="42" t="s">
        <v>229</v>
      </c>
      <c r="C68" s="43" t="str">
        <f aca="false">INDEX(Products!$B$2:$B$16,MATCH($B68,Products!$A$2:$A$16,0))</f>
        <v>Induction Cooktop 2000 W</v>
      </c>
      <c r="D68" s="36" t="s">
        <v>480</v>
      </c>
      <c r="E68" s="42" t="s">
        <v>286</v>
      </c>
      <c r="F68" s="43" t="str">
        <f aca="false">INDEX(RawMaterials!$B$2:$B$11,MATCH($E68,RawMaterials!$A$2:$A$11,0))</f>
        <v>CRCA Steel Sheet / Coil</v>
      </c>
      <c r="G68" s="58" t="n">
        <v>0.8</v>
      </c>
      <c r="H68" s="59" t="n">
        <f aca="false">INDEX(RawMaterials!$I$2:$I$11,MATCH($E68,RawMaterials!$A$2:$A$11,0))</f>
        <v>0.85</v>
      </c>
      <c r="I68" s="60" t="n">
        <f aca="false">G68/H68</f>
        <v>0.941176470588235</v>
      </c>
      <c r="J68" s="44" t="n">
        <f aca="false">INDEX(RawMaterials!$G$2:$G$11,MATCH($E68,RawMaterials!$A$2:$A$11,0))</f>
        <v>66.65</v>
      </c>
      <c r="K68" s="61" t="n">
        <f aca="false">I68*J68</f>
        <v>62.7294117647059</v>
      </c>
      <c r="L68" s="60" t="n">
        <f aca="false">I68-G68</f>
        <v>0.141176470588235</v>
      </c>
      <c r="M68" s="32" t="n">
        <f aca="false">IF(SUMIFS($K$2:$K$400,$B$2:$B$400,$B68)=0,0,K68/SUMIFS($K$2:$K$400,$B$2:$B$400,$B68))</f>
        <v>0.168910322361712</v>
      </c>
      <c r="O68" s="57"/>
    </row>
    <row r="69" customFormat="false" ht="15" hidden="false" customHeight="false" outlineLevel="0" collapsed="false">
      <c r="A69" s="7" t="s">
        <v>548</v>
      </c>
      <c r="B69" s="42" t="s">
        <v>229</v>
      </c>
      <c r="C69" s="43" t="str">
        <f aca="false">INDEX(Products!$B$2:$B$16,MATCH($B69,Products!$A$2:$A$16,0))</f>
        <v>Induction Cooktop 2000 W</v>
      </c>
      <c r="D69" s="36" t="s">
        <v>480</v>
      </c>
      <c r="E69" s="42" t="s">
        <v>313</v>
      </c>
      <c r="F69" s="43" t="str">
        <f aca="false">INDEX(RawMaterials!$B$2:$B$11,MATCH($E69,RawMaterials!$A$2:$A$11,0))</f>
        <v>ABS Granules</v>
      </c>
      <c r="G69" s="58" t="n">
        <v>0.38</v>
      </c>
      <c r="H69" s="59" t="n">
        <f aca="false">INDEX(RawMaterials!$I$2:$I$11,MATCH($E69,RawMaterials!$A$2:$A$11,0))</f>
        <v>0.97</v>
      </c>
      <c r="I69" s="60" t="n">
        <f aca="false">G69/H69</f>
        <v>0.391752577319588</v>
      </c>
      <c r="J69" s="44" t="n">
        <f aca="false">INDEX(RawMaterials!$G$2:$G$11,MATCH($E69,RawMaterials!$A$2:$A$11,0))</f>
        <v>156</v>
      </c>
      <c r="K69" s="61" t="n">
        <f aca="false">I69*J69</f>
        <v>61.1134020618557</v>
      </c>
      <c r="L69" s="60" t="n">
        <f aca="false">I69-G69</f>
        <v>0.0117525773195876</v>
      </c>
      <c r="M69" s="32" t="n">
        <f aca="false">IF(SUMIFS($K$2:$K$400,$B$2:$B$400,$B69)=0,0,K69/SUMIFS($K$2:$K$400,$B$2:$B$400,$B69))</f>
        <v>0.164558923039303</v>
      </c>
      <c r="O69" s="57"/>
    </row>
    <row r="70" customFormat="false" ht="15" hidden="false" customHeight="false" outlineLevel="0" collapsed="false">
      <c r="A70" s="7" t="s">
        <v>549</v>
      </c>
      <c r="B70" s="42" t="s">
        <v>229</v>
      </c>
      <c r="C70" s="43" t="str">
        <f aca="false">INDEX(Products!$B$2:$B$16,MATCH($B70,Products!$A$2:$A$16,0))</f>
        <v>Induction Cooktop 2000 W</v>
      </c>
      <c r="D70" s="36" t="s">
        <v>482</v>
      </c>
      <c r="E70" s="42" t="s">
        <v>333</v>
      </c>
      <c r="F70" s="43" t="str">
        <f aca="false">INDEX(RawMaterials!$B$2:$B$11,MATCH($E70,RawMaterials!$A$2:$A$11,0))</f>
        <v>Powder Coating (Epoxy-Polyester)</v>
      </c>
      <c r="G70" s="58" t="n">
        <v>0.02</v>
      </c>
      <c r="H70" s="59" t="n">
        <f aca="false">INDEX(RawMaterials!$I$2:$I$11,MATCH($E70,RawMaterials!$A$2:$A$11,0))</f>
        <v>0.8</v>
      </c>
      <c r="I70" s="60" t="n">
        <f aca="false">G70/H70</f>
        <v>0.025</v>
      </c>
      <c r="J70" s="44" t="n">
        <f aca="false">INDEX(RawMaterials!$G$2:$G$11,MATCH($E70,RawMaterials!$A$2:$A$11,0))</f>
        <v>345</v>
      </c>
      <c r="K70" s="61" t="n">
        <f aca="false">I70*J70</f>
        <v>8.625</v>
      </c>
      <c r="L70" s="60" t="n">
        <f aca="false">I70-G70</f>
        <v>0.005</v>
      </c>
      <c r="M70" s="32" t="n">
        <f aca="false">IF(SUMIFS($K$2:$K$400,$B$2:$B$400,$B70)=0,0,K70/SUMIFS($K$2:$K$400,$B$2:$B$400,$B70))</f>
        <v>0.0232243773596081</v>
      </c>
      <c r="O70" s="57"/>
    </row>
    <row r="71" customFormat="false" ht="15" hidden="false" customHeight="false" outlineLevel="0" collapsed="false">
      <c r="A71" s="7" t="s">
        <v>550</v>
      </c>
      <c r="B71" s="42" t="s">
        <v>229</v>
      </c>
      <c r="C71" s="43" t="str">
        <f aca="false">INDEX(Products!$B$2:$B$16,MATCH($B71,Products!$A$2:$A$16,0))</f>
        <v>Induction Cooktop 2000 W</v>
      </c>
      <c r="D71" s="36" t="s">
        <v>344</v>
      </c>
      <c r="E71" s="42" t="s">
        <v>340</v>
      </c>
      <c r="F71" s="43" t="str">
        <f aca="false">INDEX(RawMaterials!$B$2:$B$11,MATCH($E71,RawMaterials!$A$2:$A$11,0))</f>
        <v>Corrugated Board / Cartons</v>
      </c>
      <c r="G71" s="58" t="n">
        <v>0.45</v>
      </c>
      <c r="H71" s="59" t="n">
        <f aca="false">INDEX(RawMaterials!$I$2:$I$11,MATCH($E71,RawMaterials!$A$2:$A$11,0))</f>
        <v>0.97</v>
      </c>
      <c r="I71" s="60" t="n">
        <f aca="false">G71/H71</f>
        <v>0.463917525773196</v>
      </c>
      <c r="J71" s="44" t="n">
        <f aca="false">INDEX(RawMaterials!$G$2:$G$11,MATCH($E71,RawMaterials!$A$2:$A$11,0))</f>
        <v>52</v>
      </c>
      <c r="K71" s="61" t="n">
        <f aca="false">I71*J71</f>
        <v>24.1237113402062</v>
      </c>
      <c r="L71" s="60" t="n">
        <f aca="false">I71-G71</f>
        <v>0.0139175257731959</v>
      </c>
      <c r="M71" s="32" t="n">
        <f aca="false">IF(SUMIFS($K$2:$K$400,$B$2:$B$400,$B71)=0,0,K71/SUMIFS($K$2:$K$400,$B$2:$B$400,$B71))</f>
        <v>0.0649574696207774</v>
      </c>
      <c r="O71" s="57"/>
    </row>
    <row r="72" customFormat="false" ht="15" hidden="false" customHeight="false" outlineLevel="0" collapsed="false">
      <c r="A72" s="7" t="s">
        <v>551</v>
      </c>
      <c r="B72" s="42" t="s">
        <v>233</v>
      </c>
      <c r="C72" s="43" t="str">
        <f aca="false">INDEX(Products!$B$2:$B$16,MATCH($B72,Products!$A$2:$A$16,0))</f>
        <v>Sandwich Maker 750 W</v>
      </c>
      <c r="D72" s="36" t="s">
        <v>540</v>
      </c>
      <c r="E72" s="42" t="s">
        <v>292</v>
      </c>
      <c r="F72" s="43" t="str">
        <f aca="false">INDEX(RawMaterials!$B$2:$B$11,MATCH($E72,RawMaterials!$A$2:$A$11,0))</f>
        <v>Aluminium Alloy Ingot (ADC12)</v>
      </c>
      <c r="G72" s="58" t="n">
        <v>0.55</v>
      </c>
      <c r="H72" s="59" t="n">
        <f aca="false">INDEX(RawMaterials!$I$2:$I$11,MATCH($E72,RawMaterials!$A$2:$A$11,0))</f>
        <v>0.92</v>
      </c>
      <c r="I72" s="60" t="n">
        <f aca="false">G72/H72</f>
        <v>0.597826086956522</v>
      </c>
      <c r="J72" s="44" t="n">
        <f aca="false">INDEX(RawMaterials!$G$2:$G$11,MATCH($E72,RawMaterials!$A$2:$A$11,0))</f>
        <v>261.5</v>
      </c>
      <c r="K72" s="61" t="n">
        <f aca="false">I72*J72</f>
        <v>156.33152173913</v>
      </c>
      <c r="L72" s="60" t="n">
        <f aca="false">I72-G72</f>
        <v>0.0478260869565217</v>
      </c>
      <c r="M72" s="32" t="n">
        <f aca="false">IF(SUMIFS($K$2:$K$400,$B$2:$B$400,$B72)=0,0,K72/SUMIFS($K$2:$K$400,$B$2:$B$400,$B72))</f>
        <v>0.516234192570487</v>
      </c>
      <c r="O72" s="57"/>
    </row>
    <row r="73" customFormat="false" ht="15" hidden="false" customHeight="false" outlineLevel="0" collapsed="false">
      <c r="A73" s="7" t="s">
        <v>552</v>
      </c>
      <c r="B73" s="42" t="s">
        <v>233</v>
      </c>
      <c r="C73" s="43" t="str">
        <f aca="false">INDEX(Products!$B$2:$B$16,MATCH($B73,Products!$A$2:$A$16,0))</f>
        <v>Sandwich Maker 750 W</v>
      </c>
      <c r="D73" s="36" t="s">
        <v>540</v>
      </c>
      <c r="E73" s="42" t="s">
        <v>326</v>
      </c>
      <c r="F73" s="43" t="str">
        <f aca="false">INDEX(RawMaterials!$B$2:$B$11,MATCH($E73,RawMaterials!$A$2:$A$11,0))</f>
        <v>Nichrome Resistance Wire (Ni80/Cr20)</v>
      </c>
      <c r="G73" s="58" t="n">
        <v>0.026</v>
      </c>
      <c r="H73" s="59" t="n">
        <f aca="false">INDEX(RawMaterials!$I$2:$I$11,MATCH($E73,RawMaterials!$A$2:$A$11,0))</f>
        <v>0.96</v>
      </c>
      <c r="I73" s="60" t="n">
        <f aca="false">G73/H73</f>
        <v>0.0270833333333333</v>
      </c>
      <c r="J73" s="44" t="n">
        <f aca="false">INDEX(RawMaterials!$G$2:$G$11,MATCH($E73,RawMaterials!$A$2:$A$11,0))</f>
        <v>2080</v>
      </c>
      <c r="K73" s="61" t="n">
        <f aca="false">I73*J73</f>
        <v>56.3333333333333</v>
      </c>
      <c r="L73" s="60" t="n">
        <f aca="false">I73-G73</f>
        <v>0.00108333333333334</v>
      </c>
      <c r="M73" s="32" t="n">
        <f aca="false">IF(SUMIFS($K$2:$K$400,$B$2:$B$400,$B73)=0,0,K73/SUMIFS($K$2:$K$400,$B$2:$B$400,$B73))</f>
        <v>0.186022578969487</v>
      </c>
      <c r="O73" s="57"/>
    </row>
    <row r="74" customFormat="false" ht="15" hidden="false" customHeight="false" outlineLevel="0" collapsed="false">
      <c r="A74" s="7" t="s">
        <v>553</v>
      </c>
      <c r="B74" s="42" t="s">
        <v>233</v>
      </c>
      <c r="C74" s="43" t="str">
        <f aca="false">INDEX(Products!$B$2:$B$16,MATCH($B74,Products!$A$2:$A$16,0))</f>
        <v>Sandwich Maker 750 W</v>
      </c>
      <c r="D74" s="36" t="s">
        <v>480</v>
      </c>
      <c r="E74" s="42" t="s">
        <v>286</v>
      </c>
      <c r="F74" s="43" t="str">
        <f aca="false">INDEX(RawMaterials!$B$2:$B$11,MATCH($E74,RawMaterials!$A$2:$A$11,0))</f>
        <v>CRCA Steel Sheet / Coil</v>
      </c>
      <c r="G74" s="58" t="n">
        <v>0.35</v>
      </c>
      <c r="H74" s="59" t="n">
        <f aca="false">INDEX(RawMaterials!$I$2:$I$11,MATCH($E74,RawMaterials!$A$2:$A$11,0))</f>
        <v>0.85</v>
      </c>
      <c r="I74" s="60" t="n">
        <f aca="false">G74/H74</f>
        <v>0.411764705882353</v>
      </c>
      <c r="J74" s="44" t="n">
        <f aca="false">INDEX(RawMaterials!$G$2:$G$11,MATCH($E74,RawMaterials!$A$2:$A$11,0))</f>
        <v>66.65</v>
      </c>
      <c r="K74" s="61" t="n">
        <f aca="false">I74*J74</f>
        <v>27.4441176470588</v>
      </c>
      <c r="L74" s="60" t="n">
        <f aca="false">I74-G74</f>
        <v>0.0617647058823529</v>
      </c>
      <c r="M74" s="32" t="n">
        <f aca="false">IF(SUMIFS($K$2:$K$400,$B$2:$B$400,$B74)=0,0,K74/SUMIFS($K$2:$K$400,$B$2:$B$400,$B74))</f>
        <v>0.0906253054836903</v>
      </c>
      <c r="O74" s="57"/>
    </row>
    <row r="75" customFormat="false" ht="15" hidden="false" customHeight="false" outlineLevel="0" collapsed="false">
      <c r="A75" s="7" t="s">
        <v>554</v>
      </c>
      <c r="B75" s="42" t="s">
        <v>233</v>
      </c>
      <c r="C75" s="43" t="str">
        <f aca="false">INDEX(Products!$B$2:$B$16,MATCH($B75,Products!$A$2:$A$16,0))</f>
        <v>Sandwich Maker 750 W</v>
      </c>
      <c r="D75" s="36" t="s">
        <v>480</v>
      </c>
      <c r="E75" s="42" t="s">
        <v>313</v>
      </c>
      <c r="F75" s="43" t="str">
        <f aca="false">INDEX(RawMaterials!$B$2:$B$11,MATCH($E75,RawMaterials!$A$2:$A$11,0))</f>
        <v>ABS Granules</v>
      </c>
      <c r="G75" s="58" t="n">
        <v>0.28</v>
      </c>
      <c r="H75" s="59" t="n">
        <f aca="false">INDEX(RawMaterials!$I$2:$I$11,MATCH($E75,RawMaterials!$A$2:$A$11,0))</f>
        <v>0.97</v>
      </c>
      <c r="I75" s="60" t="n">
        <f aca="false">G75/H75</f>
        <v>0.288659793814433</v>
      </c>
      <c r="J75" s="44" t="n">
        <f aca="false">INDEX(RawMaterials!$G$2:$G$11,MATCH($E75,RawMaterials!$A$2:$A$11,0))</f>
        <v>156</v>
      </c>
      <c r="K75" s="61" t="n">
        <f aca="false">I75*J75</f>
        <v>45.0309278350516</v>
      </c>
      <c r="L75" s="60" t="n">
        <f aca="false">I75-G75</f>
        <v>0.00865979381443299</v>
      </c>
      <c r="M75" s="32" t="n">
        <f aca="false">IF(SUMIFS($K$2:$K$400,$B$2:$B$400,$B75)=0,0,K75/SUMIFS($K$2:$K$400,$B$2:$B$400,$B75))</f>
        <v>0.148700047265062</v>
      </c>
      <c r="O75" s="57"/>
    </row>
    <row r="76" customFormat="false" ht="15" hidden="false" customHeight="false" outlineLevel="0" collapsed="false">
      <c r="A76" s="7" t="s">
        <v>555</v>
      </c>
      <c r="B76" s="42" t="s">
        <v>233</v>
      </c>
      <c r="C76" s="43" t="str">
        <f aca="false">INDEX(Products!$B$2:$B$16,MATCH($B76,Products!$A$2:$A$16,0))</f>
        <v>Sandwich Maker 750 W</v>
      </c>
      <c r="D76" s="36" t="s">
        <v>344</v>
      </c>
      <c r="E76" s="42" t="s">
        <v>340</v>
      </c>
      <c r="F76" s="43" t="str">
        <f aca="false">INDEX(RawMaterials!$B$2:$B$11,MATCH($E76,RawMaterials!$A$2:$A$11,0))</f>
        <v>Corrugated Board / Cartons</v>
      </c>
      <c r="G76" s="58" t="n">
        <v>0.33</v>
      </c>
      <c r="H76" s="59" t="n">
        <f aca="false">INDEX(RawMaterials!$I$2:$I$11,MATCH($E76,RawMaterials!$A$2:$A$11,0))</f>
        <v>0.97</v>
      </c>
      <c r="I76" s="60" t="n">
        <f aca="false">G76/H76</f>
        <v>0.34020618556701</v>
      </c>
      <c r="J76" s="44" t="n">
        <f aca="false">INDEX(RawMaterials!$G$2:$G$11,MATCH($E76,RawMaterials!$A$2:$A$11,0))</f>
        <v>52</v>
      </c>
      <c r="K76" s="61" t="n">
        <f aca="false">I76*J76</f>
        <v>17.6907216494845</v>
      </c>
      <c r="L76" s="60" t="n">
        <f aca="false">I76-G76</f>
        <v>0.0102061855670103</v>
      </c>
      <c r="M76" s="32" t="n">
        <f aca="false">IF(SUMIFS($K$2:$K$400,$B$2:$B$400,$B76)=0,0,K76/SUMIFS($K$2:$K$400,$B$2:$B$400,$B76))</f>
        <v>0.0584178757112742</v>
      </c>
      <c r="O76" s="57"/>
    </row>
    <row r="77" customFormat="false" ht="15" hidden="false" customHeight="false" outlineLevel="0" collapsed="false">
      <c r="A77" s="7" t="s">
        <v>556</v>
      </c>
      <c r="B77" s="42" t="s">
        <v>237</v>
      </c>
      <c r="C77" s="43" t="str">
        <f aca="false">INDEX(Products!$B$2:$B$16,MATCH($B77,Products!$A$2:$A$16,0))</f>
        <v>Fan Room Heater 2000 W</v>
      </c>
      <c r="D77" s="36" t="s">
        <v>475</v>
      </c>
      <c r="E77" s="42" t="s">
        <v>277</v>
      </c>
      <c r="F77" s="43" t="str">
        <f aca="false">INDEX(RawMaterials!$B$2:$B$11,MATCH($E77,RawMaterials!$A$2:$A$11,0))</f>
        <v>CRNGO Electrical Steel Coil</v>
      </c>
      <c r="G77" s="58" t="n">
        <v>0.09</v>
      </c>
      <c r="H77" s="59" t="n">
        <f aca="false">INDEX(RawMaterials!$I$2:$I$11,MATCH($E77,RawMaterials!$A$2:$A$11,0))</f>
        <v>0.7</v>
      </c>
      <c r="I77" s="60" t="n">
        <f aca="false">G77/H77</f>
        <v>0.128571428571429</v>
      </c>
      <c r="J77" s="44" t="n">
        <f aca="false">INDEX(RawMaterials!$G$2:$G$11,MATCH($E77,RawMaterials!$A$2:$A$11,0))</f>
        <v>93.4</v>
      </c>
      <c r="K77" s="61" t="n">
        <f aca="false">I77*J77</f>
        <v>12.0085714285714</v>
      </c>
      <c r="L77" s="60" t="n">
        <f aca="false">I77-G77</f>
        <v>0.0385714285714286</v>
      </c>
      <c r="M77" s="32" t="n">
        <f aca="false">IF(SUMIFS($K$2:$K$400,$B$2:$B$400,$B77)=0,0,K77/SUMIFS($K$2:$K$400,$B$2:$B$400,$B77))</f>
        <v>0.0272117009071031</v>
      </c>
      <c r="O77" s="57"/>
    </row>
    <row r="78" customFormat="false" ht="15" hidden="false" customHeight="false" outlineLevel="0" collapsed="false">
      <c r="A78" s="7" t="s">
        <v>557</v>
      </c>
      <c r="B78" s="42" t="s">
        <v>237</v>
      </c>
      <c r="C78" s="43" t="str">
        <f aca="false">INDEX(Products!$B$2:$B$16,MATCH($B78,Products!$A$2:$A$16,0))</f>
        <v>Fan Room Heater 2000 W</v>
      </c>
      <c r="D78" s="36" t="s">
        <v>475</v>
      </c>
      <c r="E78" s="42" t="s">
        <v>300</v>
      </c>
      <c r="F78" s="43" t="str">
        <f aca="false">INDEX(RawMaterials!$B$2:$B$11,MATCH($E78,RawMaterials!$A$2:$A$11,0))</f>
        <v>Enamelled Copper Winding Wire</v>
      </c>
      <c r="G78" s="58" t="n">
        <v>0.05</v>
      </c>
      <c r="H78" s="59" t="n">
        <f aca="false">INDEX(RawMaterials!$I$2:$I$11,MATCH($E78,RawMaterials!$A$2:$A$11,0))</f>
        <v>0.98</v>
      </c>
      <c r="I78" s="60" t="n">
        <f aca="false">G78/H78</f>
        <v>0.0510204081632653</v>
      </c>
      <c r="J78" s="44" t="n">
        <f aca="false">INDEX(RawMaterials!$G$2:$G$11,MATCH($E78,RawMaterials!$A$2:$A$11,0))</f>
        <v>1336.25</v>
      </c>
      <c r="K78" s="61" t="n">
        <f aca="false">I78*J78</f>
        <v>68.1760204081633</v>
      </c>
      <c r="L78" s="60" t="n">
        <f aca="false">I78-G78</f>
        <v>0.0010204081632653</v>
      </c>
      <c r="M78" s="32" t="n">
        <f aca="false">IF(SUMIFS($K$2:$K$400,$B$2:$B$400,$B78)=0,0,K78/SUMIFS($K$2:$K$400,$B$2:$B$400,$B78))</f>
        <v>0.15448844081233</v>
      </c>
      <c r="O78" s="57"/>
    </row>
    <row r="79" customFormat="false" ht="15" hidden="false" customHeight="false" outlineLevel="0" collapsed="false">
      <c r="A79" s="7" t="s">
        <v>558</v>
      </c>
      <c r="B79" s="42" t="s">
        <v>237</v>
      </c>
      <c r="C79" s="43" t="str">
        <f aca="false">INDEX(Products!$B$2:$B$16,MATCH($B79,Products!$A$2:$A$16,0))</f>
        <v>Fan Room Heater 2000 W</v>
      </c>
      <c r="D79" s="36" t="s">
        <v>475</v>
      </c>
      <c r="E79" s="42" t="s">
        <v>292</v>
      </c>
      <c r="F79" s="43" t="str">
        <f aca="false">INDEX(RawMaterials!$B$2:$B$11,MATCH($E79,RawMaterials!$A$2:$A$11,0))</f>
        <v>Aluminium Alloy Ingot (ADC12)</v>
      </c>
      <c r="G79" s="58" t="n">
        <v>0.12</v>
      </c>
      <c r="H79" s="59" t="n">
        <f aca="false">INDEX(RawMaterials!$I$2:$I$11,MATCH($E79,RawMaterials!$A$2:$A$11,0))</f>
        <v>0.92</v>
      </c>
      <c r="I79" s="60" t="n">
        <f aca="false">G79/H79</f>
        <v>0.130434782608696</v>
      </c>
      <c r="J79" s="44" t="n">
        <f aca="false">INDEX(RawMaterials!$G$2:$G$11,MATCH($E79,RawMaterials!$A$2:$A$11,0))</f>
        <v>261.5</v>
      </c>
      <c r="K79" s="61" t="n">
        <f aca="false">I79*J79</f>
        <v>34.1086956521739</v>
      </c>
      <c r="L79" s="60" t="n">
        <f aca="false">I79-G79</f>
        <v>0.0104347826086957</v>
      </c>
      <c r="M79" s="32" t="n">
        <f aca="false">IF(SUMIFS($K$2:$K$400,$B$2:$B$400,$B79)=0,0,K79/SUMIFS($K$2:$K$400,$B$2:$B$400,$B79))</f>
        <v>0.0772910941104991</v>
      </c>
      <c r="O79" s="57"/>
    </row>
    <row r="80" customFormat="false" ht="15" hidden="false" customHeight="false" outlineLevel="0" collapsed="false">
      <c r="A80" s="7" t="s">
        <v>559</v>
      </c>
      <c r="B80" s="42" t="s">
        <v>237</v>
      </c>
      <c r="C80" s="43" t="str">
        <f aca="false">INDEX(Products!$B$2:$B$16,MATCH($B80,Products!$A$2:$A$16,0))</f>
        <v>Fan Room Heater 2000 W</v>
      </c>
      <c r="D80" s="36" t="s">
        <v>540</v>
      </c>
      <c r="E80" s="42" t="s">
        <v>326</v>
      </c>
      <c r="F80" s="43" t="str">
        <f aca="false">INDEX(RawMaterials!$B$2:$B$11,MATCH($E80,RawMaterials!$A$2:$A$11,0))</f>
        <v>Nichrome Resistance Wire (Ni80/Cr20)</v>
      </c>
      <c r="G80" s="58" t="n">
        <v>0.05</v>
      </c>
      <c r="H80" s="59" t="n">
        <f aca="false">INDEX(RawMaterials!$I$2:$I$11,MATCH($E80,RawMaterials!$A$2:$A$11,0))</f>
        <v>0.96</v>
      </c>
      <c r="I80" s="60" t="n">
        <f aca="false">G80/H80</f>
        <v>0.0520833333333333</v>
      </c>
      <c r="J80" s="44" t="n">
        <f aca="false">INDEX(RawMaterials!$G$2:$G$11,MATCH($E80,RawMaterials!$A$2:$A$11,0))</f>
        <v>2080</v>
      </c>
      <c r="K80" s="61" t="n">
        <f aca="false">I80*J80</f>
        <v>108.333333333333</v>
      </c>
      <c r="L80" s="60" t="n">
        <f aca="false">I80-G80</f>
        <v>0.00208333333333333</v>
      </c>
      <c r="M80" s="32" t="n">
        <f aca="false">IF(SUMIFS($K$2:$K$400,$B$2:$B$400,$B80)=0,0,K80/SUMIFS($K$2:$K$400,$B$2:$B$400,$B80))</f>
        <v>0.245485841714885</v>
      </c>
      <c r="O80" s="57"/>
    </row>
    <row r="81" customFormat="false" ht="15" hidden="false" customHeight="false" outlineLevel="0" collapsed="false">
      <c r="A81" s="7" t="s">
        <v>560</v>
      </c>
      <c r="B81" s="42" t="s">
        <v>237</v>
      </c>
      <c r="C81" s="43" t="str">
        <f aca="false">INDEX(Products!$B$2:$B$16,MATCH($B81,Products!$A$2:$A$16,0))</f>
        <v>Fan Room Heater 2000 W</v>
      </c>
      <c r="D81" s="36" t="s">
        <v>480</v>
      </c>
      <c r="E81" s="42" t="s">
        <v>286</v>
      </c>
      <c r="F81" s="43" t="str">
        <f aca="false">INDEX(RawMaterials!$B$2:$B$11,MATCH($E81,RawMaterials!$A$2:$A$11,0))</f>
        <v>CRCA Steel Sheet / Coil</v>
      </c>
      <c r="G81" s="58" t="n">
        <v>1.05</v>
      </c>
      <c r="H81" s="59" t="n">
        <f aca="false">INDEX(RawMaterials!$I$2:$I$11,MATCH($E81,RawMaterials!$A$2:$A$11,0))</f>
        <v>0.85</v>
      </c>
      <c r="I81" s="60" t="n">
        <f aca="false">G81/H81</f>
        <v>1.23529411764706</v>
      </c>
      <c r="J81" s="44" t="n">
        <f aca="false">INDEX(RawMaterials!$G$2:$G$11,MATCH($E81,RawMaterials!$A$2:$A$11,0))</f>
        <v>66.65</v>
      </c>
      <c r="K81" s="61" t="n">
        <f aca="false">I81*J81</f>
        <v>82.3323529411765</v>
      </c>
      <c r="L81" s="60" t="n">
        <f aca="false">I81-G81</f>
        <v>0.185294117647059</v>
      </c>
      <c r="M81" s="32" t="n">
        <f aca="false">IF(SUMIFS($K$2:$K$400,$B$2:$B$400,$B81)=0,0,K81/SUMIFS($K$2:$K$400,$B$2:$B$400,$B81))</f>
        <v>0.186567018111985</v>
      </c>
      <c r="O81" s="57"/>
    </row>
    <row r="82" customFormat="false" ht="15" hidden="false" customHeight="false" outlineLevel="0" collapsed="false">
      <c r="A82" s="7" t="s">
        <v>561</v>
      </c>
      <c r="B82" s="42" t="s">
        <v>237</v>
      </c>
      <c r="C82" s="43" t="str">
        <f aca="false">INDEX(Products!$B$2:$B$16,MATCH($B82,Products!$A$2:$A$16,0))</f>
        <v>Fan Room Heater 2000 W</v>
      </c>
      <c r="D82" s="36" t="s">
        <v>480</v>
      </c>
      <c r="E82" s="42" t="s">
        <v>313</v>
      </c>
      <c r="F82" s="43" t="str">
        <f aca="false">INDEX(RawMaterials!$B$2:$B$11,MATCH($E82,RawMaterials!$A$2:$A$11,0))</f>
        <v>ABS Granules</v>
      </c>
      <c r="G82" s="58" t="n">
        <v>0.42</v>
      </c>
      <c r="H82" s="59" t="n">
        <f aca="false">INDEX(RawMaterials!$I$2:$I$11,MATCH($E82,RawMaterials!$A$2:$A$11,0))</f>
        <v>0.97</v>
      </c>
      <c r="I82" s="60" t="n">
        <f aca="false">G82/H82</f>
        <v>0.43298969072165</v>
      </c>
      <c r="J82" s="44" t="n">
        <f aca="false">INDEX(RawMaterials!$G$2:$G$11,MATCH($E82,RawMaterials!$A$2:$A$11,0))</f>
        <v>156</v>
      </c>
      <c r="K82" s="61" t="n">
        <f aca="false">I82*J82</f>
        <v>67.5463917525773</v>
      </c>
      <c r="L82" s="60" t="n">
        <f aca="false">I82-G82</f>
        <v>0.0129896907216495</v>
      </c>
      <c r="M82" s="32" t="n">
        <f aca="false">IF(SUMIFS($K$2:$K$400,$B$2:$B$400,$B82)=0,0,K82/SUMIFS($K$2:$K$400,$B$2:$B$400,$B82))</f>
        <v>0.153061687700167</v>
      </c>
      <c r="O82" s="57"/>
    </row>
    <row r="83" customFormat="false" ht="15" hidden="false" customHeight="false" outlineLevel="0" collapsed="false">
      <c r="A83" s="7" t="s">
        <v>562</v>
      </c>
      <c r="B83" s="42" t="s">
        <v>237</v>
      </c>
      <c r="C83" s="43" t="str">
        <f aca="false">INDEX(Products!$B$2:$B$16,MATCH($B83,Products!$A$2:$A$16,0))</f>
        <v>Fan Room Heater 2000 W</v>
      </c>
      <c r="D83" s="36" t="s">
        <v>480</v>
      </c>
      <c r="E83" s="42" t="s">
        <v>306</v>
      </c>
      <c r="F83" s="43" t="str">
        <f aca="false">INDEX(RawMaterials!$B$2:$B$11,MATCH($E83,RawMaterials!$A$2:$A$11,0))</f>
        <v>Polypropylene (PP) Granules</v>
      </c>
      <c r="G83" s="58" t="n">
        <v>0.2</v>
      </c>
      <c r="H83" s="59" t="n">
        <f aca="false">INDEX(RawMaterials!$I$2:$I$11,MATCH($E83,RawMaterials!$A$2:$A$11,0))</f>
        <v>0.97</v>
      </c>
      <c r="I83" s="60" t="n">
        <f aca="false">G83/H83</f>
        <v>0.206185567010309</v>
      </c>
      <c r="J83" s="44" t="n">
        <f aca="false">INDEX(RawMaterials!$G$2:$G$11,MATCH($E83,RawMaterials!$A$2:$A$11,0))</f>
        <v>107</v>
      </c>
      <c r="K83" s="61" t="n">
        <f aca="false">I83*J83</f>
        <v>22.0618556701031</v>
      </c>
      <c r="L83" s="60" t="n">
        <f aca="false">I83-G83</f>
        <v>0.00618556701030928</v>
      </c>
      <c r="M83" s="32" t="n">
        <f aca="false">IF(SUMIFS($K$2:$K$400,$B$2:$B$400,$B83)=0,0,K83/SUMIFS($K$2:$K$400,$B$2:$B$400,$B83))</f>
        <v>0.0499926757750851</v>
      </c>
      <c r="O83" s="57"/>
    </row>
    <row r="84" customFormat="false" ht="15" hidden="false" customHeight="false" outlineLevel="0" collapsed="false">
      <c r="A84" s="7" t="s">
        <v>563</v>
      </c>
      <c r="B84" s="42" t="s">
        <v>237</v>
      </c>
      <c r="C84" s="43" t="str">
        <f aca="false">INDEX(Products!$B$2:$B$16,MATCH($B84,Products!$A$2:$A$16,0))</f>
        <v>Fan Room Heater 2000 W</v>
      </c>
      <c r="D84" s="36" t="s">
        <v>482</v>
      </c>
      <c r="E84" s="42" t="s">
        <v>333</v>
      </c>
      <c r="F84" s="43" t="str">
        <f aca="false">INDEX(RawMaterials!$B$2:$B$11,MATCH($E84,RawMaterials!$A$2:$A$11,0))</f>
        <v>Powder Coating (Epoxy-Polyester)</v>
      </c>
      <c r="G84" s="58" t="n">
        <v>0.04</v>
      </c>
      <c r="H84" s="59" t="n">
        <f aca="false">INDEX(RawMaterials!$I$2:$I$11,MATCH($E84,RawMaterials!$A$2:$A$11,0))</f>
        <v>0.8</v>
      </c>
      <c r="I84" s="60" t="n">
        <f aca="false">G84/H84</f>
        <v>0.05</v>
      </c>
      <c r="J84" s="44" t="n">
        <f aca="false">INDEX(RawMaterials!$G$2:$G$11,MATCH($E84,RawMaterials!$A$2:$A$11,0))</f>
        <v>345</v>
      </c>
      <c r="K84" s="61" t="n">
        <f aca="false">I84*J84</f>
        <v>17.25</v>
      </c>
      <c r="L84" s="60" t="n">
        <f aca="false">I84-G84</f>
        <v>0.01</v>
      </c>
      <c r="M84" s="32" t="n">
        <f aca="false">IF(SUMIFS($K$2:$K$400,$B$2:$B$400,$B84)=0,0,K84/SUMIFS($K$2:$K$400,$B$2:$B$400,$B84))</f>
        <v>0.0390888994115239</v>
      </c>
      <c r="O84" s="57"/>
    </row>
    <row r="85" customFormat="false" ht="15" hidden="false" customHeight="false" outlineLevel="0" collapsed="false">
      <c r="A85" s="7" t="s">
        <v>564</v>
      </c>
      <c r="B85" s="42" t="s">
        <v>237</v>
      </c>
      <c r="C85" s="43" t="str">
        <f aca="false">INDEX(Products!$B$2:$B$16,MATCH($B85,Products!$A$2:$A$16,0))</f>
        <v>Fan Room Heater 2000 W</v>
      </c>
      <c r="D85" s="36" t="s">
        <v>344</v>
      </c>
      <c r="E85" s="42" t="s">
        <v>340</v>
      </c>
      <c r="F85" s="43" t="str">
        <f aca="false">INDEX(RawMaterials!$B$2:$B$11,MATCH($E85,RawMaterials!$A$2:$A$11,0))</f>
        <v>Corrugated Board / Cartons</v>
      </c>
      <c r="G85" s="58" t="n">
        <v>0.55</v>
      </c>
      <c r="H85" s="59" t="n">
        <f aca="false">INDEX(RawMaterials!$I$2:$I$11,MATCH($E85,RawMaterials!$A$2:$A$11,0))</f>
        <v>0.97</v>
      </c>
      <c r="I85" s="60" t="n">
        <f aca="false">G85/H85</f>
        <v>0.567010309278351</v>
      </c>
      <c r="J85" s="44" t="n">
        <f aca="false">INDEX(RawMaterials!$G$2:$G$11,MATCH($E85,RawMaterials!$A$2:$A$11,0))</f>
        <v>52</v>
      </c>
      <c r="K85" s="61" t="n">
        <f aca="false">I85*J85</f>
        <v>29.4845360824742</v>
      </c>
      <c r="L85" s="60" t="n">
        <f aca="false">I85-G85</f>
        <v>0.0170103092783506</v>
      </c>
      <c r="M85" s="32" t="n">
        <f aca="false">IF(SUMIFS($K$2:$K$400,$B$2:$B$400,$B85)=0,0,K85/SUMIFS($K$2:$K$400,$B$2:$B$400,$B85))</f>
        <v>0.0668126414564222</v>
      </c>
      <c r="O85" s="57"/>
    </row>
    <row r="86" customFormat="false" ht="15" hidden="false" customHeight="false" outlineLevel="0" collapsed="false">
      <c r="A86" s="7" t="s">
        <v>565</v>
      </c>
      <c r="B86" s="42" t="s">
        <v>243</v>
      </c>
      <c r="C86" s="43" t="str">
        <f aca="false">INDEX(Products!$B$2:$B$16,MATCH($B86,Products!$A$2:$A$16,0))</f>
        <v>Immersion Water Heater Rod 1500 W</v>
      </c>
      <c r="D86" s="36" t="s">
        <v>540</v>
      </c>
      <c r="E86" s="42" t="s">
        <v>326</v>
      </c>
      <c r="F86" s="43" t="str">
        <f aca="false">INDEX(RawMaterials!$B$2:$B$11,MATCH($E86,RawMaterials!$A$2:$A$11,0))</f>
        <v>Nichrome Resistance Wire (Ni80/Cr20)</v>
      </c>
      <c r="G86" s="58" t="n">
        <v>0.03</v>
      </c>
      <c r="H86" s="59" t="n">
        <f aca="false">INDEX(RawMaterials!$I$2:$I$11,MATCH($E86,RawMaterials!$A$2:$A$11,0))</f>
        <v>0.96</v>
      </c>
      <c r="I86" s="60" t="n">
        <f aca="false">G86/H86</f>
        <v>0.03125</v>
      </c>
      <c r="J86" s="44" t="n">
        <f aca="false">INDEX(RawMaterials!$G$2:$G$11,MATCH($E86,RawMaterials!$A$2:$A$11,0))</f>
        <v>2080</v>
      </c>
      <c r="K86" s="61" t="n">
        <f aca="false">I86*J86</f>
        <v>65</v>
      </c>
      <c r="L86" s="60" t="n">
        <f aca="false">I86-G86</f>
        <v>0.00125</v>
      </c>
      <c r="M86" s="32" t="n">
        <f aca="false">IF(SUMIFS($K$2:$K$400,$B$2:$B$400,$B86)=0,0,K86/SUMIFS($K$2:$K$400,$B$2:$B$400,$B86))</f>
        <v>0.679350700460097</v>
      </c>
      <c r="O86" s="57"/>
    </row>
    <row r="87" customFormat="false" ht="15" hidden="false" customHeight="false" outlineLevel="0" collapsed="false">
      <c r="A87" s="7" t="s">
        <v>566</v>
      </c>
      <c r="B87" s="42" t="s">
        <v>243</v>
      </c>
      <c r="C87" s="43" t="str">
        <f aca="false">INDEX(Products!$B$2:$B$16,MATCH($B87,Products!$A$2:$A$16,0))</f>
        <v>Immersion Water Heater Rod 1500 W</v>
      </c>
      <c r="D87" s="36" t="s">
        <v>540</v>
      </c>
      <c r="E87" s="42" t="s">
        <v>319</v>
      </c>
      <c r="F87" s="43" t="str">
        <f aca="false">INDEX(RawMaterials!$B$2:$B$11,MATCH($E87,RawMaterials!$A$2:$A$11,0))</f>
        <v>Stainless Steel 304 Sheet</v>
      </c>
      <c r="G87" s="58" t="n">
        <v>0.07</v>
      </c>
      <c r="H87" s="59" t="n">
        <f aca="false">INDEX(RawMaterials!$I$2:$I$11,MATCH($E87,RawMaterials!$A$2:$A$11,0))</f>
        <v>0.82</v>
      </c>
      <c r="I87" s="60" t="n">
        <f aca="false">G87/H87</f>
        <v>0.0853658536585366</v>
      </c>
      <c r="J87" s="44" t="n">
        <f aca="false">INDEX(RawMaterials!$G$2:$G$11,MATCH($E87,RawMaterials!$A$2:$A$11,0))</f>
        <v>206.5</v>
      </c>
      <c r="K87" s="61" t="n">
        <f aca="false">I87*J87</f>
        <v>17.6280487804878</v>
      </c>
      <c r="L87" s="60" t="n">
        <f aca="false">I87-G87</f>
        <v>0.0153658536585366</v>
      </c>
      <c r="M87" s="32" t="n">
        <f aca="false">IF(SUMIFS($K$2:$K$400,$B$2:$B$400,$B87)=0,0,K87/SUMIFS($K$2:$K$400,$B$2:$B$400,$B87))</f>
        <v>0.184240419796448</v>
      </c>
      <c r="O87" s="57"/>
    </row>
    <row r="88" customFormat="false" ht="15" hidden="false" customHeight="false" outlineLevel="0" collapsed="false">
      <c r="A88" s="7" t="s">
        <v>567</v>
      </c>
      <c r="B88" s="42" t="s">
        <v>243</v>
      </c>
      <c r="C88" s="43" t="str">
        <f aca="false">INDEX(Products!$B$2:$B$16,MATCH($B88,Products!$A$2:$A$16,0))</f>
        <v>Immersion Water Heater Rod 1500 W</v>
      </c>
      <c r="D88" s="36" t="s">
        <v>480</v>
      </c>
      <c r="E88" s="42" t="s">
        <v>306</v>
      </c>
      <c r="F88" s="43" t="str">
        <f aca="false">INDEX(RawMaterials!$B$2:$B$11,MATCH($E88,RawMaterials!$A$2:$A$11,0))</f>
        <v>Polypropylene (PP) Granules</v>
      </c>
      <c r="G88" s="58" t="n">
        <v>0.06</v>
      </c>
      <c r="H88" s="59" t="n">
        <f aca="false">INDEX(RawMaterials!$I$2:$I$11,MATCH($E88,RawMaterials!$A$2:$A$11,0))</f>
        <v>0.97</v>
      </c>
      <c r="I88" s="60" t="n">
        <f aca="false">G88/H88</f>
        <v>0.0618556701030928</v>
      </c>
      <c r="J88" s="44" t="n">
        <f aca="false">INDEX(RawMaterials!$G$2:$G$11,MATCH($E88,RawMaterials!$A$2:$A$11,0))</f>
        <v>107</v>
      </c>
      <c r="K88" s="61" t="n">
        <f aca="false">I88*J88</f>
        <v>6.61855670103093</v>
      </c>
      <c r="L88" s="60" t="n">
        <f aca="false">I88-G88</f>
        <v>0.00185567010309279</v>
      </c>
      <c r="M88" s="32" t="n">
        <f aca="false">IF(SUMIFS($K$2:$K$400,$B$2:$B$400,$B88)=0,0,K88/SUMIFS($K$2:$K$400,$B$2:$B$400,$B88))</f>
        <v>0.0691741712443112</v>
      </c>
      <c r="O88" s="57"/>
    </row>
    <row r="89" customFormat="false" ht="15" hidden="false" customHeight="false" outlineLevel="0" collapsed="false">
      <c r="A89" s="7" t="s">
        <v>568</v>
      </c>
      <c r="B89" s="42" t="s">
        <v>243</v>
      </c>
      <c r="C89" s="43" t="str">
        <f aca="false">INDEX(Products!$B$2:$B$16,MATCH($B89,Products!$A$2:$A$16,0))</f>
        <v>Immersion Water Heater Rod 1500 W</v>
      </c>
      <c r="D89" s="36" t="s">
        <v>344</v>
      </c>
      <c r="E89" s="42" t="s">
        <v>340</v>
      </c>
      <c r="F89" s="43" t="str">
        <f aca="false">INDEX(RawMaterials!$B$2:$B$11,MATCH($E89,RawMaterials!$A$2:$A$11,0))</f>
        <v>Corrugated Board / Cartons</v>
      </c>
      <c r="G89" s="58" t="n">
        <v>0.12</v>
      </c>
      <c r="H89" s="59" t="n">
        <f aca="false">INDEX(RawMaterials!$I$2:$I$11,MATCH($E89,RawMaterials!$A$2:$A$11,0))</f>
        <v>0.97</v>
      </c>
      <c r="I89" s="60" t="n">
        <f aca="false">G89/H89</f>
        <v>0.123711340206186</v>
      </c>
      <c r="J89" s="44" t="n">
        <f aca="false">INDEX(RawMaterials!$G$2:$G$11,MATCH($E89,RawMaterials!$A$2:$A$11,0))</f>
        <v>52</v>
      </c>
      <c r="K89" s="61" t="n">
        <f aca="false">I89*J89</f>
        <v>6.43298969072165</v>
      </c>
      <c r="L89" s="60" t="n">
        <f aca="false">I89-G89</f>
        <v>0.00371134020618558</v>
      </c>
      <c r="M89" s="32" t="n">
        <f aca="false">IF(SUMIFS($K$2:$K$400,$B$2:$B$400,$B89)=0,0,K89/SUMIFS($K$2:$K$400,$B$2:$B$400,$B89))</f>
        <v>0.0672347084991436</v>
      </c>
      <c r="O89" s="57"/>
    </row>
    <row r="90" customFormat="false" ht="15" hidden="false" customHeight="false" outlineLevel="0" collapsed="false">
      <c r="A90" s="7" t="s">
        <v>569</v>
      </c>
      <c r="B90" s="42" t="s">
        <v>247</v>
      </c>
      <c r="C90" s="43" t="str">
        <f aca="false">INDEX(Products!$B$2:$B$16,MATCH($B90,Products!$A$2:$A$16,0))</f>
        <v>Dry Iron 1000 W</v>
      </c>
      <c r="D90" s="36" t="s">
        <v>540</v>
      </c>
      <c r="E90" s="42" t="s">
        <v>292</v>
      </c>
      <c r="F90" s="43" t="str">
        <f aca="false">INDEX(RawMaterials!$B$2:$B$11,MATCH($E90,RawMaterials!$A$2:$A$11,0))</f>
        <v>Aluminium Alloy Ingot (ADC12)</v>
      </c>
      <c r="G90" s="58" t="n">
        <v>0.35</v>
      </c>
      <c r="H90" s="59" t="n">
        <f aca="false">INDEX(RawMaterials!$I$2:$I$11,MATCH($E90,RawMaterials!$A$2:$A$11,0))</f>
        <v>0.92</v>
      </c>
      <c r="I90" s="60" t="n">
        <f aca="false">G90/H90</f>
        <v>0.380434782608696</v>
      </c>
      <c r="J90" s="44" t="n">
        <f aca="false">INDEX(RawMaterials!$G$2:$G$11,MATCH($E90,RawMaterials!$A$2:$A$11,0))</f>
        <v>261.5</v>
      </c>
      <c r="K90" s="61" t="n">
        <f aca="false">I90*J90</f>
        <v>99.4836956521739</v>
      </c>
      <c r="L90" s="60" t="n">
        <f aca="false">I90-G90</f>
        <v>0.0304347826086956</v>
      </c>
      <c r="M90" s="32" t="n">
        <f aca="false">IF(SUMIFS($K$2:$K$400,$B$2:$B$400,$B90)=0,0,K90/SUMIFS($K$2:$K$400,$B$2:$B$400,$B90))</f>
        <v>0.465503634523187</v>
      </c>
      <c r="O90" s="57"/>
    </row>
    <row r="91" customFormat="false" ht="15" hidden="false" customHeight="false" outlineLevel="0" collapsed="false">
      <c r="A91" s="7" t="s">
        <v>570</v>
      </c>
      <c r="B91" s="42" t="s">
        <v>247</v>
      </c>
      <c r="C91" s="43" t="str">
        <f aca="false">INDEX(Products!$B$2:$B$16,MATCH($B91,Products!$A$2:$A$16,0))</f>
        <v>Dry Iron 1000 W</v>
      </c>
      <c r="D91" s="36" t="s">
        <v>540</v>
      </c>
      <c r="E91" s="42" t="s">
        <v>326</v>
      </c>
      <c r="F91" s="43" t="str">
        <f aca="false">INDEX(RawMaterials!$B$2:$B$11,MATCH($E91,RawMaterials!$A$2:$A$11,0))</f>
        <v>Nichrome Resistance Wire (Ni80/Cr20)</v>
      </c>
      <c r="G91" s="58" t="n">
        <v>0.022</v>
      </c>
      <c r="H91" s="59" t="n">
        <f aca="false">INDEX(RawMaterials!$I$2:$I$11,MATCH($E91,RawMaterials!$A$2:$A$11,0))</f>
        <v>0.96</v>
      </c>
      <c r="I91" s="60" t="n">
        <f aca="false">G91/H91</f>
        <v>0.0229166666666667</v>
      </c>
      <c r="J91" s="44" t="n">
        <f aca="false">INDEX(RawMaterials!$G$2:$G$11,MATCH($E91,RawMaterials!$A$2:$A$11,0))</f>
        <v>2080</v>
      </c>
      <c r="K91" s="61" t="n">
        <f aca="false">I91*J91</f>
        <v>47.6666666666667</v>
      </c>
      <c r="L91" s="60" t="n">
        <f aca="false">I91-G91</f>
        <v>0.000916666666666666</v>
      </c>
      <c r="M91" s="32" t="n">
        <f aca="false">IF(SUMIFS($K$2:$K$400,$B$2:$B$400,$B91)=0,0,K91/SUMIFS($K$2:$K$400,$B$2:$B$400,$B91))</f>
        <v>0.223041639471439</v>
      </c>
      <c r="O91" s="57"/>
    </row>
    <row r="92" customFormat="false" ht="15" hidden="false" customHeight="false" outlineLevel="0" collapsed="false">
      <c r="A92" s="7" t="s">
        <v>571</v>
      </c>
      <c r="B92" s="42" t="s">
        <v>247</v>
      </c>
      <c r="C92" s="43" t="str">
        <f aca="false">INDEX(Products!$B$2:$B$16,MATCH($B92,Products!$A$2:$A$16,0))</f>
        <v>Dry Iron 1000 W</v>
      </c>
      <c r="D92" s="36" t="s">
        <v>480</v>
      </c>
      <c r="E92" s="42" t="s">
        <v>313</v>
      </c>
      <c r="F92" s="43" t="str">
        <f aca="false">INDEX(RawMaterials!$B$2:$B$11,MATCH($E92,RawMaterials!$A$2:$A$11,0))</f>
        <v>ABS Granules</v>
      </c>
      <c r="G92" s="58" t="n">
        <v>0.22</v>
      </c>
      <c r="H92" s="59" t="n">
        <f aca="false">INDEX(RawMaterials!$I$2:$I$11,MATCH($E92,RawMaterials!$A$2:$A$11,0))</f>
        <v>0.97</v>
      </c>
      <c r="I92" s="60" t="n">
        <f aca="false">G92/H92</f>
        <v>0.22680412371134</v>
      </c>
      <c r="J92" s="44" t="n">
        <f aca="false">INDEX(RawMaterials!$G$2:$G$11,MATCH($E92,RawMaterials!$A$2:$A$11,0))</f>
        <v>156</v>
      </c>
      <c r="K92" s="61" t="n">
        <f aca="false">I92*J92</f>
        <v>35.3814432989691</v>
      </c>
      <c r="L92" s="60" t="n">
        <f aca="false">I92-G92</f>
        <v>0.0068041237113402</v>
      </c>
      <c r="M92" s="32" t="n">
        <f aca="false">IF(SUMIFS($K$2:$K$400,$B$2:$B$400,$B92)=0,0,K92/SUMIFS($K$2:$K$400,$B$2:$B$400,$B92))</f>
        <v>0.16555668084478</v>
      </c>
      <c r="O92" s="57"/>
    </row>
    <row r="93" customFormat="false" ht="15" hidden="false" customHeight="false" outlineLevel="0" collapsed="false">
      <c r="A93" s="7" t="s">
        <v>572</v>
      </c>
      <c r="B93" s="42" t="s">
        <v>247</v>
      </c>
      <c r="C93" s="43" t="str">
        <f aca="false">INDEX(Products!$B$2:$B$16,MATCH($B93,Products!$A$2:$A$16,0))</f>
        <v>Dry Iron 1000 W</v>
      </c>
      <c r="D93" s="36" t="s">
        <v>480</v>
      </c>
      <c r="E93" s="42" t="s">
        <v>306</v>
      </c>
      <c r="F93" s="43" t="str">
        <f aca="false">INDEX(RawMaterials!$B$2:$B$11,MATCH($E93,RawMaterials!$A$2:$A$11,0))</f>
        <v>Polypropylene (PP) Granules</v>
      </c>
      <c r="G93" s="58" t="n">
        <v>0.08</v>
      </c>
      <c r="H93" s="59" t="n">
        <f aca="false">INDEX(RawMaterials!$I$2:$I$11,MATCH($E93,RawMaterials!$A$2:$A$11,0))</f>
        <v>0.97</v>
      </c>
      <c r="I93" s="60" t="n">
        <f aca="false">G93/H93</f>
        <v>0.0824742268041237</v>
      </c>
      <c r="J93" s="44" t="n">
        <f aca="false">INDEX(RawMaterials!$G$2:$G$11,MATCH($E93,RawMaterials!$A$2:$A$11,0))</f>
        <v>107</v>
      </c>
      <c r="K93" s="61" t="n">
        <f aca="false">I93*J93</f>
        <v>8.82474226804124</v>
      </c>
      <c r="L93" s="60" t="n">
        <f aca="false">I93-G93</f>
        <v>0.00247422680412371</v>
      </c>
      <c r="M93" s="32" t="n">
        <f aca="false">IF(SUMIFS($K$2:$K$400,$B$2:$B$400,$B93)=0,0,K93/SUMIFS($K$2:$K$400,$B$2:$B$400,$B93))</f>
        <v>0.0412926919589544</v>
      </c>
      <c r="O93" s="57"/>
    </row>
    <row r="94" customFormat="false" ht="15" hidden="false" customHeight="false" outlineLevel="0" collapsed="false">
      <c r="A94" s="7" t="s">
        <v>573</v>
      </c>
      <c r="B94" s="42" t="s">
        <v>247</v>
      </c>
      <c r="C94" s="43" t="str">
        <f aca="false">INDEX(Products!$B$2:$B$16,MATCH($B94,Products!$A$2:$A$16,0))</f>
        <v>Dry Iron 1000 W</v>
      </c>
      <c r="D94" s="36" t="s">
        <v>480</v>
      </c>
      <c r="E94" s="42" t="s">
        <v>286</v>
      </c>
      <c r="F94" s="43" t="str">
        <f aca="false">INDEX(RawMaterials!$B$2:$B$11,MATCH($E94,RawMaterials!$A$2:$A$11,0))</f>
        <v>CRCA Steel Sheet / Coil</v>
      </c>
      <c r="G94" s="58" t="n">
        <v>0.08</v>
      </c>
      <c r="H94" s="59" t="n">
        <f aca="false">INDEX(RawMaterials!$I$2:$I$11,MATCH($E94,RawMaterials!$A$2:$A$11,0))</f>
        <v>0.85</v>
      </c>
      <c r="I94" s="60" t="n">
        <f aca="false">G94/H94</f>
        <v>0.0941176470588235</v>
      </c>
      <c r="J94" s="44" t="n">
        <f aca="false">INDEX(RawMaterials!$G$2:$G$11,MATCH($E94,RawMaterials!$A$2:$A$11,0))</f>
        <v>66.65</v>
      </c>
      <c r="K94" s="61" t="n">
        <f aca="false">I94*J94</f>
        <v>6.27294117647059</v>
      </c>
      <c r="L94" s="60" t="n">
        <f aca="false">I94-G94</f>
        <v>0.0141176470588235</v>
      </c>
      <c r="M94" s="32" t="n">
        <f aca="false">IF(SUMIFS($K$2:$K$400,$B$2:$B$400,$B94)=0,0,K94/SUMIFS($K$2:$K$400,$B$2:$B$400,$B94))</f>
        <v>0.0293523164540119</v>
      </c>
      <c r="O94" s="57"/>
    </row>
    <row r="95" customFormat="false" ht="15" hidden="false" customHeight="false" outlineLevel="0" collapsed="false">
      <c r="A95" s="7" t="s">
        <v>574</v>
      </c>
      <c r="B95" s="42" t="s">
        <v>247</v>
      </c>
      <c r="C95" s="43" t="str">
        <f aca="false">INDEX(Products!$B$2:$B$16,MATCH($B95,Products!$A$2:$A$16,0))</f>
        <v>Dry Iron 1000 W</v>
      </c>
      <c r="D95" s="36" t="s">
        <v>344</v>
      </c>
      <c r="E95" s="42" t="s">
        <v>340</v>
      </c>
      <c r="F95" s="43" t="str">
        <f aca="false">INDEX(RawMaterials!$B$2:$B$11,MATCH($E95,RawMaterials!$A$2:$A$11,0))</f>
        <v>Corrugated Board / Cartons</v>
      </c>
      <c r="G95" s="58" t="n">
        <v>0.3</v>
      </c>
      <c r="H95" s="59" t="n">
        <f aca="false">INDEX(RawMaterials!$I$2:$I$11,MATCH($E95,RawMaterials!$A$2:$A$11,0))</f>
        <v>0.97</v>
      </c>
      <c r="I95" s="60" t="n">
        <f aca="false">G95/H95</f>
        <v>0.309278350515464</v>
      </c>
      <c r="J95" s="44" t="n">
        <f aca="false">INDEX(RawMaterials!$G$2:$G$11,MATCH($E95,RawMaterials!$A$2:$A$11,0))</f>
        <v>52</v>
      </c>
      <c r="K95" s="61" t="n">
        <f aca="false">I95*J95</f>
        <v>16.0824742268041</v>
      </c>
      <c r="L95" s="60" t="n">
        <f aca="false">I95-G95</f>
        <v>0.00927835051546394</v>
      </c>
      <c r="M95" s="32" t="n">
        <f aca="false">IF(SUMIFS($K$2:$K$400,$B$2:$B$400,$B95)=0,0,K95/SUMIFS($K$2:$K$400,$B$2:$B$400,$B95))</f>
        <v>0.0752530367476272</v>
      </c>
      <c r="O95" s="57"/>
    </row>
    <row r="96" customFormat="false" ht="15" hidden="false" customHeight="false" outlineLevel="0" collapsed="false">
      <c r="A96" s="7" t="s">
        <v>575</v>
      </c>
      <c r="B96" s="42" t="s">
        <v>251</v>
      </c>
      <c r="C96" s="43" t="str">
        <f aca="false">INDEX(Products!$B$2:$B$16,MATCH($B96,Products!$A$2:$A$16,0))</f>
        <v>Water Pump 0.5 HP Monoblock</v>
      </c>
      <c r="D96" s="36" t="s">
        <v>475</v>
      </c>
      <c r="E96" s="42" t="s">
        <v>277</v>
      </c>
      <c r="F96" s="43" t="str">
        <f aca="false">INDEX(RawMaterials!$B$2:$B$11,MATCH($E96,RawMaterials!$A$2:$A$11,0))</f>
        <v>CRNGO Electrical Steel Coil</v>
      </c>
      <c r="G96" s="58" t="n">
        <v>2</v>
      </c>
      <c r="H96" s="59" t="n">
        <f aca="false">INDEX(RawMaterials!$I$2:$I$11,MATCH($E96,RawMaterials!$A$2:$A$11,0))</f>
        <v>0.7</v>
      </c>
      <c r="I96" s="60" t="n">
        <f aca="false">G96/H96</f>
        <v>2.85714285714286</v>
      </c>
      <c r="J96" s="44" t="n">
        <f aca="false">INDEX(RawMaterials!$G$2:$G$11,MATCH($E96,RawMaterials!$A$2:$A$11,0))</f>
        <v>93.4</v>
      </c>
      <c r="K96" s="61" t="n">
        <f aca="false">I96*J96</f>
        <v>266.857142857143</v>
      </c>
      <c r="L96" s="60" t="n">
        <f aca="false">I96-G96</f>
        <v>0.857142857142857</v>
      </c>
      <c r="M96" s="32" t="n">
        <f aca="false">IF(SUMIFS($K$2:$K$400,$B$2:$B$400,$B96)=0,0,K96/SUMIFS($K$2:$K$400,$B$2:$B$400,$B96))</f>
        <v>0.138287263253935</v>
      </c>
      <c r="O96" s="57"/>
    </row>
    <row r="97" customFormat="false" ht="15" hidden="false" customHeight="false" outlineLevel="0" collapsed="false">
      <c r="A97" s="7" t="s">
        <v>576</v>
      </c>
      <c r="B97" s="42" t="s">
        <v>251</v>
      </c>
      <c r="C97" s="43" t="str">
        <f aca="false">INDEX(Products!$B$2:$B$16,MATCH($B97,Products!$A$2:$A$16,0))</f>
        <v>Water Pump 0.5 HP Monoblock</v>
      </c>
      <c r="D97" s="36" t="s">
        <v>475</v>
      </c>
      <c r="E97" s="42" t="s">
        <v>300</v>
      </c>
      <c r="F97" s="43" t="str">
        <f aca="false">INDEX(RawMaterials!$B$2:$B$11,MATCH($E97,RawMaterials!$A$2:$A$11,0))</f>
        <v>Enamelled Copper Winding Wire</v>
      </c>
      <c r="G97" s="58" t="n">
        <v>0.8</v>
      </c>
      <c r="H97" s="59" t="n">
        <f aca="false">INDEX(RawMaterials!$I$2:$I$11,MATCH($E97,RawMaterials!$A$2:$A$11,0))</f>
        <v>0.98</v>
      </c>
      <c r="I97" s="60" t="n">
        <f aca="false">G97/H97</f>
        <v>0.816326530612245</v>
      </c>
      <c r="J97" s="44" t="n">
        <f aca="false">INDEX(RawMaterials!$G$2:$G$11,MATCH($E97,RawMaterials!$A$2:$A$11,0))</f>
        <v>1336.25</v>
      </c>
      <c r="K97" s="61" t="n">
        <f aca="false">I97*J97</f>
        <v>1090.81632653061</v>
      </c>
      <c r="L97" s="60" t="n">
        <f aca="false">I97-G97</f>
        <v>0.0163265306122449</v>
      </c>
      <c r="M97" s="32" t="n">
        <f aca="false">IF(SUMIFS($K$2:$K$400,$B$2:$B$400,$B97)=0,0,K97/SUMIFS($K$2:$K$400,$B$2:$B$400,$B97))</f>
        <v>0.565268753511992</v>
      </c>
      <c r="O97" s="57"/>
    </row>
    <row r="98" customFormat="false" ht="15" hidden="false" customHeight="false" outlineLevel="0" collapsed="false">
      <c r="A98" s="7" t="s">
        <v>577</v>
      </c>
      <c r="B98" s="42" t="s">
        <v>251</v>
      </c>
      <c r="C98" s="43" t="str">
        <f aca="false">INDEX(Products!$B$2:$B$16,MATCH($B98,Products!$A$2:$A$16,0))</f>
        <v>Water Pump 0.5 HP Monoblock</v>
      </c>
      <c r="D98" s="36" t="s">
        <v>578</v>
      </c>
      <c r="E98" s="42" t="s">
        <v>292</v>
      </c>
      <c r="F98" s="43" t="str">
        <f aca="false">INDEX(RawMaterials!$B$2:$B$11,MATCH($E98,RawMaterials!$A$2:$A$11,0))</f>
        <v>Aluminium Alloy Ingot (ADC12)</v>
      </c>
      <c r="G98" s="58" t="n">
        <v>1.3</v>
      </c>
      <c r="H98" s="59" t="n">
        <f aca="false">INDEX(RawMaterials!$I$2:$I$11,MATCH($E98,RawMaterials!$A$2:$A$11,0))</f>
        <v>0.92</v>
      </c>
      <c r="I98" s="60" t="n">
        <f aca="false">G98/H98</f>
        <v>1.41304347826087</v>
      </c>
      <c r="J98" s="44" t="n">
        <f aca="false">INDEX(RawMaterials!$G$2:$G$11,MATCH($E98,RawMaterials!$A$2:$A$11,0))</f>
        <v>261.5</v>
      </c>
      <c r="K98" s="61" t="n">
        <f aca="false">I98*J98</f>
        <v>369.510869565217</v>
      </c>
      <c r="L98" s="60" t="n">
        <f aca="false">I98-G98</f>
        <v>0.11304347826087</v>
      </c>
      <c r="M98" s="32" t="n">
        <f aca="false">IF(SUMIFS($K$2:$K$400,$B$2:$B$400,$B98)=0,0,K98/SUMIFS($K$2:$K$400,$B$2:$B$400,$B98))</f>
        <v>0.191483152175208</v>
      </c>
      <c r="O98" s="57"/>
    </row>
    <row r="99" customFormat="false" ht="15" hidden="false" customHeight="false" outlineLevel="0" collapsed="false">
      <c r="A99" s="7" t="s">
        <v>579</v>
      </c>
      <c r="B99" s="42" t="s">
        <v>251</v>
      </c>
      <c r="C99" s="43" t="str">
        <f aca="false">INDEX(Products!$B$2:$B$16,MATCH($B99,Products!$A$2:$A$16,0))</f>
        <v>Water Pump 0.5 HP Monoblock</v>
      </c>
      <c r="D99" s="36" t="s">
        <v>578</v>
      </c>
      <c r="E99" s="42" t="s">
        <v>319</v>
      </c>
      <c r="F99" s="43" t="str">
        <f aca="false">INDEX(RawMaterials!$B$2:$B$11,MATCH($E99,RawMaterials!$A$2:$A$11,0))</f>
        <v>Stainless Steel 304 Sheet</v>
      </c>
      <c r="G99" s="58" t="n">
        <v>0.18</v>
      </c>
      <c r="H99" s="59" t="n">
        <f aca="false">INDEX(RawMaterials!$I$2:$I$11,MATCH($E99,RawMaterials!$A$2:$A$11,0))</f>
        <v>0.82</v>
      </c>
      <c r="I99" s="60" t="n">
        <f aca="false">G99/H99</f>
        <v>0.219512195121951</v>
      </c>
      <c r="J99" s="44" t="n">
        <f aca="false">INDEX(RawMaterials!$G$2:$G$11,MATCH($E99,RawMaterials!$A$2:$A$11,0))</f>
        <v>206.5</v>
      </c>
      <c r="K99" s="61" t="n">
        <f aca="false">I99*J99</f>
        <v>45.3292682926829</v>
      </c>
      <c r="L99" s="60" t="n">
        <f aca="false">I99-G99</f>
        <v>0.0395121951219512</v>
      </c>
      <c r="M99" s="32" t="n">
        <f aca="false">IF(SUMIFS($K$2:$K$400,$B$2:$B$400,$B99)=0,0,K99/SUMIFS($K$2:$K$400,$B$2:$B$400,$B99))</f>
        <v>0.0234899481812041</v>
      </c>
      <c r="O99" s="57"/>
    </row>
    <row r="100" customFormat="false" ht="15" hidden="false" customHeight="false" outlineLevel="0" collapsed="false">
      <c r="A100" s="7" t="s">
        <v>580</v>
      </c>
      <c r="B100" s="42" t="s">
        <v>251</v>
      </c>
      <c r="C100" s="43" t="str">
        <f aca="false">INDEX(Products!$B$2:$B$16,MATCH($B100,Products!$A$2:$A$16,0))</f>
        <v>Water Pump 0.5 HP Monoblock</v>
      </c>
      <c r="D100" s="36" t="s">
        <v>578</v>
      </c>
      <c r="E100" s="42" t="s">
        <v>306</v>
      </c>
      <c r="F100" s="43" t="str">
        <f aca="false">INDEX(RawMaterials!$B$2:$B$11,MATCH($E100,RawMaterials!$A$2:$A$11,0))</f>
        <v>Polypropylene (PP) Granules</v>
      </c>
      <c r="G100" s="58" t="n">
        <v>0.28</v>
      </c>
      <c r="H100" s="59" t="n">
        <f aca="false">INDEX(RawMaterials!$I$2:$I$11,MATCH($E100,RawMaterials!$A$2:$A$11,0))</f>
        <v>0.97</v>
      </c>
      <c r="I100" s="60" t="n">
        <f aca="false">G100/H100</f>
        <v>0.288659793814433</v>
      </c>
      <c r="J100" s="44" t="n">
        <f aca="false">INDEX(RawMaterials!$G$2:$G$11,MATCH($E100,RawMaterials!$A$2:$A$11,0))</f>
        <v>107</v>
      </c>
      <c r="K100" s="61" t="n">
        <f aca="false">I100*J100</f>
        <v>30.8865979381443</v>
      </c>
      <c r="L100" s="60" t="n">
        <f aca="false">I100-G100</f>
        <v>0.00865979381443299</v>
      </c>
      <c r="M100" s="32" t="n">
        <f aca="false">IF(SUMIFS($K$2:$K$400,$B$2:$B$400,$B100)=0,0,K100/SUMIFS($K$2:$K$400,$B$2:$B$400,$B100))</f>
        <v>0.0160056540153288</v>
      </c>
      <c r="O100" s="57"/>
    </row>
    <row r="101" customFormat="false" ht="15" hidden="false" customHeight="false" outlineLevel="0" collapsed="false">
      <c r="A101" s="7" t="s">
        <v>581</v>
      </c>
      <c r="B101" s="42" t="s">
        <v>251</v>
      </c>
      <c r="C101" s="43" t="str">
        <f aca="false">INDEX(Products!$B$2:$B$16,MATCH($B101,Products!$A$2:$A$16,0))</f>
        <v>Water Pump 0.5 HP Monoblock</v>
      </c>
      <c r="D101" s="36" t="s">
        <v>480</v>
      </c>
      <c r="E101" s="42" t="s">
        <v>286</v>
      </c>
      <c r="F101" s="43" t="str">
        <f aca="false">INDEX(RawMaterials!$B$2:$B$11,MATCH($E101,RawMaterials!$A$2:$A$11,0))</f>
        <v>CRCA Steel Sheet / Coil</v>
      </c>
      <c r="G101" s="58" t="n">
        <v>0.7</v>
      </c>
      <c r="H101" s="59" t="n">
        <f aca="false">INDEX(RawMaterials!$I$2:$I$11,MATCH($E101,RawMaterials!$A$2:$A$11,0))</f>
        <v>0.85</v>
      </c>
      <c r="I101" s="60" t="n">
        <f aca="false">G101/H101</f>
        <v>0.823529411764706</v>
      </c>
      <c r="J101" s="44" t="n">
        <f aca="false">INDEX(RawMaterials!$G$2:$G$11,MATCH($E101,RawMaterials!$A$2:$A$11,0))</f>
        <v>66.65</v>
      </c>
      <c r="K101" s="61" t="n">
        <f aca="false">I101*J101</f>
        <v>54.8882352941177</v>
      </c>
      <c r="L101" s="60" t="n">
        <f aca="false">I101-G101</f>
        <v>0.123529411764706</v>
      </c>
      <c r="M101" s="32" t="n">
        <f aca="false">IF(SUMIFS($K$2:$K$400,$B$2:$B$400,$B101)=0,0,K101/SUMIFS($K$2:$K$400,$B$2:$B$400,$B101))</f>
        <v>0.028443472647554</v>
      </c>
      <c r="O101" s="57"/>
    </row>
    <row r="102" customFormat="false" ht="15" hidden="false" customHeight="false" outlineLevel="0" collapsed="false">
      <c r="A102" s="7" t="s">
        <v>582</v>
      </c>
      <c r="B102" s="42" t="s">
        <v>251</v>
      </c>
      <c r="C102" s="43" t="str">
        <f aca="false">INDEX(Products!$B$2:$B$16,MATCH($B102,Products!$A$2:$A$16,0))</f>
        <v>Water Pump 0.5 HP Monoblock</v>
      </c>
      <c r="D102" s="36" t="s">
        <v>482</v>
      </c>
      <c r="E102" s="42" t="s">
        <v>333</v>
      </c>
      <c r="F102" s="43" t="str">
        <f aca="false">INDEX(RawMaterials!$B$2:$B$11,MATCH($E102,RawMaterials!$A$2:$A$11,0))</f>
        <v>Powder Coating (Epoxy-Polyester)</v>
      </c>
      <c r="G102" s="58" t="n">
        <v>0.06</v>
      </c>
      <c r="H102" s="59" t="n">
        <f aca="false">INDEX(RawMaterials!$I$2:$I$11,MATCH($E102,RawMaterials!$A$2:$A$11,0))</f>
        <v>0.8</v>
      </c>
      <c r="I102" s="60" t="n">
        <f aca="false">G102/H102</f>
        <v>0.075</v>
      </c>
      <c r="J102" s="44" t="n">
        <f aca="false">INDEX(RawMaterials!$G$2:$G$11,MATCH($E102,RawMaterials!$A$2:$A$11,0))</f>
        <v>345</v>
      </c>
      <c r="K102" s="61" t="n">
        <f aca="false">I102*J102</f>
        <v>25.875</v>
      </c>
      <c r="L102" s="60" t="n">
        <f aca="false">I102-G102</f>
        <v>0.015</v>
      </c>
      <c r="M102" s="32" t="n">
        <f aca="false">IF(SUMIFS($K$2:$K$400,$B$2:$B$400,$B102)=0,0,K102/SUMIFS($K$2:$K$400,$B$2:$B$400,$B102))</f>
        <v>0.0134086084351547</v>
      </c>
      <c r="O102" s="57"/>
    </row>
    <row r="103" customFormat="false" ht="15" hidden="false" customHeight="false" outlineLevel="0" collapsed="false">
      <c r="A103" s="7" t="s">
        <v>583</v>
      </c>
      <c r="B103" s="42" t="s">
        <v>251</v>
      </c>
      <c r="C103" s="43" t="str">
        <f aca="false">INDEX(Products!$B$2:$B$16,MATCH($B103,Products!$A$2:$A$16,0))</f>
        <v>Water Pump 0.5 HP Monoblock</v>
      </c>
      <c r="D103" s="36" t="s">
        <v>344</v>
      </c>
      <c r="E103" s="42" t="s">
        <v>340</v>
      </c>
      <c r="F103" s="43" t="str">
        <f aca="false">INDEX(RawMaterials!$B$2:$B$11,MATCH($E103,RawMaterials!$A$2:$A$11,0))</f>
        <v>Corrugated Board / Cartons</v>
      </c>
      <c r="G103" s="58" t="n">
        <v>0.85</v>
      </c>
      <c r="H103" s="59" t="n">
        <f aca="false">INDEX(RawMaterials!$I$2:$I$11,MATCH($E103,RawMaterials!$A$2:$A$11,0))</f>
        <v>0.97</v>
      </c>
      <c r="I103" s="60" t="n">
        <f aca="false">G103/H103</f>
        <v>0.876288659793814</v>
      </c>
      <c r="J103" s="44" t="n">
        <f aca="false">INDEX(RawMaterials!$G$2:$G$11,MATCH($E103,RawMaterials!$A$2:$A$11,0))</f>
        <v>52</v>
      </c>
      <c r="K103" s="61" t="n">
        <f aca="false">I103*J103</f>
        <v>45.5670103092784</v>
      </c>
      <c r="L103" s="60" t="n">
        <f aca="false">I103-G103</f>
        <v>0.0262886597938145</v>
      </c>
      <c r="M103" s="32" t="n">
        <f aca="false">IF(SUMIFS($K$2:$K$400,$B$2:$B$400,$B103)=0,0,K103/SUMIFS($K$2:$K$400,$B$2:$B$400,$B103))</f>
        <v>0.0236131477796239</v>
      </c>
      <c r="O103" s="57"/>
    </row>
  </sheetData>
  <autoFilter ref="A1:M103"/>
  <mergeCells count="1">
    <mergeCell ref="O2:O10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20"/>
    <col collapsed="false" customWidth="true" hidden="false" outlineLevel="0" max="4" min="4" style="0" width="18"/>
    <col collapsed="false" customWidth="true" hidden="false" outlineLevel="0" max="5" min="5" style="0" width="48"/>
    <col collapsed="false" customWidth="true" hidden="false" outlineLevel="0" max="6" min="6" style="0" width="38"/>
    <col collapsed="false" customWidth="true" hidden="false" outlineLevel="0" max="7" min="7" style="0" width="13"/>
    <col collapsed="false" customWidth="true" hidden="false" outlineLevel="0" max="9" min="8" style="0" width="9"/>
    <col collapsed="false" customWidth="true" hidden="false" outlineLevel="0" max="11" min="10" style="0" width="11"/>
    <col collapsed="false" customWidth="true" hidden="false" outlineLevel="0" max="12" min="12" style="0" width="13"/>
    <col collapsed="false" customWidth="true" hidden="false" outlineLevel="0" max="14" min="13" style="0" width="15"/>
  </cols>
  <sheetData>
    <row r="1" customFormat="false" ht="48" hidden="false" customHeight="true" outlineLevel="0" collapsed="false">
      <c r="A1" s="8" t="s">
        <v>584</v>
      </c>
      <c r="B1" s="8" t="s">
        <v>100</v>
      </c>
      <c r="C1" s="8" t="s">
        <v>260</v>
      </c>
      <c r="D1" s="8" t="s">
        <v>20</v>
      </c>
      <c r="E1" s="8" t="s">
        <v>585</v>
      </c>
      <c r="F1" s="8" t="s">
        <v>586</v>
      </c>
      <c r="G1" s="8" t="s">
        <v>587</v>
      </c>
      <c r="H1" s="8" t="s">
        <v>588</v>
      </c>
      <c r="I1" s="8" t="s">
        <v>589</v>
      </c>
      <c r="J1" s="8" t="s">
        <v>590</v>
      </c>
      <c r="K1" s="8" t="s">
        <v>591</v>
      </c>
      <c r="L1" s="8" t="s">
        <v>592</v>
      </c>
      <c r="M1" s="8" t="s">
        <v>593</v>
      </c>
      <c r="N1" s="8" t="s">
        <v>594</v>
      </c>
    </row>
    <row r="2" customFormat="false" ht="42" hidden="false" customHeight="true" outlineLevel="0" collapsed="false">
      <c r="A2" s="6" t="s">
        <v>595</v>
      </c>
      <c r="B2" s="11" t="s">
        <v>596</v>
      </c>
      <c r="C2" s="7" t="s">
        <v>597</v>
      </c>
      <c r="D2" s="7" t="s">
        <v>598</v>
      </c>
      <c r="E2" s="11" t="s">
        <v>599</v>
      </c>
      <c r="F2" s="11" t="s">
        <v>600</v>
      </c>
      <c r="G2" s="39" t="n">
        <v>21</v>
      </c>
      <c r="H2" s="39" t="n">
        <v>2</v>
      </c>
      <c r="I2" s="39" t="n">
        <v>8</v>
      </c>
      <c r="J2" s="45" t="n">
        <f aca="false">Assumptions!$B$9</f>
        <v>26</v>
      </c>
      <c r="K2" s="41" t="n">
        <v>0.8</v>
      </c>
      <c r="L2" s="39" t="n">
        <v>780</v>
      </c>
      <c r="M2" s="29" t="n">
        <f aca="false">G2*H2*I2*J2*K2</f>
        <v>6988.8</v>
      </c>
      <c r="N2" s="33" t="n">
        <f aca="false">H2*I2*J2*K2</f>
        <v>332.8</v>
      </c>
    </row>
    <row r="3" customFormat="false" ht="42" hidden="false" customHeight="true" outlineLevel="0" collapsed="false">
      <c r="A3" s="6" t="s">
        <v>601</v>
      </c>
      <c r="B3" s="11" t="s">
        <v>602</v>
      </c>
      <c r="C3" s="7" t="s">
        <v>603</v>
      </c>
      <c r="D3" s="7" t="s">
        <v>604</v>
      </c>
      <c r="E3" s="11" t="s">
        <v>605</v>
      </c>
      <c r="F3" s="11" t="s">
        <v>606</v>
      </c>
      <c r="G3" s="39" t="n">
        <v>7</v>
      </c>
      <c r="H3" s="39" t="n">
        <v>3</v>
      </c>
      <c r="I3" s="39" t="n">
        <v>8</v>
      </c>
      <c r="J3" s="45" t="n">
        <f aca="false">Assumptions!$B$9</f>
        <v>26</v>
      </c>
      <c r="K3" s="41" t="n">
        <v>0.75</v>
      </c>
      <c r="L3" s="39" t="n">
        <v>2100</v>
      </c>
      <c r="M3" s="29" t="n">
        <f aca="false">G3*H3*I3*J3*K3</f>
        <v>3276</v>
      </c>
      <c r="N3" s="33" t="n">
        <f aca="false">H3*I3*J3*K3</f>
        <v>468</v>
      </c>
    </row>
    <row r="4" customFormat="false" ht="42" hidden="false" customHeight="true" outlineLevel="0" collapsed="false">
      <c r="A4" s="6" t="s">
        <v>607</v>
      </c>
      <c r="B4" s="11" t="s">
        <v>608</v>
      </c>
      <c r="C4" s="7" t="s">
        <v>609</v>
      </c>
      <c r="D4" s="7" t="s">
        <v>610</v>
      </c>
      <c r="E4" s="11" t="s">
        <v>611</v>
      </c>
      <c r="F4" s="11" t="s">
        <v>612</v>
      </c>
      <c r="G4" s="39" t="n">
        <v>8</v>
      </c>
      <c r="H4" s="39" t="n">
        <v>3</v>
      </c>
      <c r="I4" s="39" t="n">
        <v>8</v>
      </c>
      <c r="J4" s="45" t="n">
        <f aca="false">Assumptions!$B$9</f>
        <v>26</v>
      </c>
      <c r="K4" s="41" t="n">
        <v>0.8</v>
      </c>
      <c r="L4" s="39" t="n">
        <v>1300</v>
      </c>
      <c r="M4" s="29" t="n">
        <f aca="false">G4*H4*I4*J4*K4</f>
        <v>3993.6</v>
      </c>
      <c r="N4" s="33" t="n">
        <f aca="false">H4*I4*J4*K4</f>
        <v>499.2</v>
      </c>
    </row>
    <row r="5" customFormat="false" ht="42" hidden="false" customHeight="true" outlineLevel="0" collapsed="false">
      <c r="A5" s="6" t="s">
        <v>613</v>
      </c>
      <c r="B5" s="11" t="s">
        <v>614</v>
      </c>
      <c r="C5" s="7" t="s">
        <v>615</v>
      </c>
      <c r="D5" s="7" t="s">
        <v>616</v>
      </c>
      <c r="E5" s="11" t="s">
        <v>617</v>
      </c>
      <c r="F5" s="11" t="s">
        <v>618</v>
      </c>
      <c r="G5" s="39" t="n">
        <v>33</v>
      </c>
      <c r="H5" s="39" t="n">
        <v>2</v>
      </c>
      <c r="I5" s="39" t="n">
        <v>8</v>
      </c>
      <c r="J5" s="45" t="n">
        <f aca="false">Assumptions!$B$9</f>
        <v>26</v>
      </c>
      <c r="K5" s="41" t="n">
        <v>0.82</v>
      </c>
      <c r="L5" s="39" t="n">
        <v>420</v>
      </c>
      <c r="M5" s="29" t="n">
        <f aca="false">G5*H5*I5*J5*K5</f>
        <v>11256.96</v>
      </c>
      <c r="N5" s="33" t="n">
        <f aca="false">H5*I5*J5*K5</f>
        <v>341.12</v>
      </c>
    </row>
    <row r="6" customFormat="false" ht="42" hidden="false" customHeight="true" outlineLevel="0" collapsed="false">
      <c r="A6" s="6" t="s">
        <v>619</v>
      </c>
      <c r="B6" s="11" t="s">
        <v>620</v>
      </c>
      <c r="C6" s="7" t="s">
        <v>335</v>
      </c>
      <c r="D6" s="7" t="s">
        <v>621</v>
      </c>
      <c r="E6" s="11" t="s">
        <v>622</v>
      </c>
      <c r="F6" s="11" t="s">
        <v>623</v>
      </c>
      <c r="G6" s="39" t="n">
        <v>1</v>
      </c>
      <c r="H6" s="39" t="n">
        <v>3</v>
      </c>
      <c r="I6" s="39" t="n">
        <v>8</v>
      </c>
      <c r="J6" s="45" t="n">
        <f aca="false">Assumptions!$B$9</f>
        <v>26</v>
      </c>
      <c r="K6" s="41" t="n">
        <v>0.78</v>
      </c>
      <c r="L6" s="39" t="n">
        <v>3300</v>
      </c>
      <c r="M6" s="29" t="n">
        <f aca="false">G6*H6*I6*J6*K6</f>
        <v>486.72</v>
      </c>
      <c r="N6" s="33" t="n">
        <f aca="false">H6*I6*J6*K6</f>
        <v>486.72</v>
      </c>
    </row>
    <row r="7" customFormat="false" ht="42" hidden="false" customHeight="true" outlineLevel="0" collapsed="false">
      <c r="A7" s="6" t="s">
        <v>195</v>
      </c>
      <c r="B7" s="11" t="s">
        <v>624</v>
      </c>
      <c r="C7" s="7" t="s">
        <v>625</v>
      </c>
      <c r="D7" s="7" t="s">
        <v>626</v>
      </c>
      <c r="E7" s="11" t="s">
        <v>627</v>
      </c>
      <c r="F7" s="11" t="s">
        <v>628</v>
      </c>
      <c r="G7" s="39" t="n">
        <v>55</v>
      </c>
      <c r="H7" s="39" t="n">
        <v>2</v>
      </c>
      <c r="I7" s="39" t="n">
        <v>8</v>
      </c>
      <c r="J7" s="45" t="n">
        <f aca="false">Assumptions!$B$9</f>
        <v>26</v>
      </c>
      <c r="K7" s="41" t="n">
        <v>0.85</v>
      </c>
      <c r="L7" s="39" t="n">
        <v>360</v>
      </c>
      <c r="M7" s="29" t="n">
        <f aca="false">G7*H7*I7*J7*K7</f>
        <v>19448</v>
      </c>
      <c r="N7" s="33" t="n">
        <f aca="false">H7*I7*J7*K7</f>
        <v>353.6</v>
      </c>
    </row>
    <row r="8" customFormat="false" ht="42" hidden="false" customHeight="true" outlineLevel="0" collapsed="false">
      <c r="A8" s="6" t="s">
        <v>220</v>
      </c>
      <c r="B8" s="11" t="s">
        <v>629</v>
      </c>
      <c r="C8" s="7" t="s">
        <v>630</v>
      </c>
      <c r="D8" s="7" t="s">
        <v>626</v>
      </c>
      <c r="E8" s="11" t="s">
        <v>631</v>
      </c>
      <c r="F8" s="11" t="s">
        <v>632</v>
      </c>
      <c r="G8" s="39" t="n">
        <v>30</v>
      </c>
      <c r="H8" s="39" t="n">
        <v>2</v>
      </c>
      <c r="I8" s="39" t="n">
        <v>8</v>
      </c>
      <c r="J8" s="45" t="n">
        <f aca="false">Assumptions!$B$9</f>
        <v>26</v>
      </c>
      <c r="K8" s="41" t="n">
        <v>0.85</v>
      </c>
      <c r="L8" s="39" t="n">
        <v>360</v>
      </c>
      <c r="M8" s="29" t="n">
        <f aca="false">G8*H8*I8*J8*K8</f>
        <v>10608</v>
      </c>
      <c r="N8" s="33" t="n">
        <f aca="false">H8*I8*J8*K8</f>
        <v>353.6</v>
      </c>
    </row>
    <row r="9" customFormat="false" ht="42" hidden="false" customHeight="true" outlineLevel="0" collapsed="false">
      <c r="A9" s="6" t="s">
        <v>241</v>
      </c>
      <c r="B9" s="11" t="s">
        <v>633</v>
      </c>
      <c r="C9" s="7" t="s">
        <v>634</v>
      </c>
      <c r="D9" s="7" t="s">
        <v>626</v>
      </c>
      <c r="E9" s="11" t="s">
        <v>635</v>
      </c>
      <c r="F9" s="11" t="s">
        <v>636</v>
      </c>
      <c r="G9" s="39" t="n">
        <v>14</v>
      </c>
      <c r="H9" s="39" t="n">
        <v>2</v>
      </c>
      <c r="I9" s="39" t="n">
        <v>8</v>
      </c>
      <c r="J9" s="45" t="n">
        <f aca="false">Assumptions!$B$9</f>
        <v>26</v>
      </c>
      <c r="K9" s="41" t="n">
        <v>0.85</v>
      </c>
      <c r="L9" s="39" t="n">
        <v>360</v>
      </c>
      <c r="M9" s="29" t="n">
        <f aca="false">G9*H9*I9*J9*K9</f>
        <v>4950.4</v>
      </c>
      <c r="N9" s="33" t="n">
        <f aca="false">H9*I9*J9*K9</f>
        <v>353.6</v>
      </c>
    </row>
    <row r="10" customFormat="false" ht="42" hidden="false" customHeight="true" outlineLevel="0" collapsed="false">
      <c r="A10" s="6" t="s">
        <v>637</v>
      </c>
      <c r="B10" s="11" t="s">
        <v>638</v>
      </c>
      <c r="C10" s="7" t="s">
        <v>639</v>
      </c>
      <c r="D10" s="7" t="s">
        <v>640</v>
      </c>
      <c r="E10" s="11" t="s">
        <v>641</v>
      </c>
      <c r="F10" s="11" t="s">
        <v>642</v>
      </c>
      <c r="G10" s="39" t="n">
        <v>15</v>
      </c>
      <c r="H10" s="39" t="n">
        <v>2</v>
      </c>
      <c r="I10" s="39" t="n">
        <v>8</v>
      </c>
      <c r="J10" s="45" t="n">
        <f aca="false">Assumptions!$B$9</f>
        <v>26</v>
      </c>
      <c r="K10" s="41" t="n">
        <v>0.88</v>
      </c>
      <c r="L10" s="39" t="n">
        <v>270</v>
      </c>
      <c r="M10" s="29" t="n">
        <f aca="false">G10*H10*I10*J10*K10</f>
        <v>5491.2</v>
      </c>
      <c r="N10" s="33" t="n">
        <f aca="false">H10*I10*J10*K10</f>
        <v>366.08</v>
      </c>
    </row>
    <row r="12" customFormat="false" ht="15" hidden="false" customHeight="false" outlineLevel="0" collapsed="false">
      <c r="A12" s="27" t="s">
        <v>643</v>
      </c>
    </row>
    <row r="13" customFormat="false" ht="15" hidden="false" customHeight="false" outlineLevel="0" collapsed="false">
      <c r="A13" s="27" t="s">
        <v>644</v>
      </c>
    </row>
  </sheetData>
  <autoFilter ref="A1:N10"/>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11" min="3" style="0" width="11.5"/>
    <col collapsed="false" customWidth="true" hidden="false" outlineLevel="0" max="12" min="12" style="0" width="12"/>
    <col collapsed="false" customWidth="true" hidden="false" outlineLevel="0" max="13" min="13" style="0" width="15"/>
  </cols>
  <sheetData>
    <row r="1" customFormat="false" ht="24" hidden="false" customHeight="true" outlineLevel="0" collapsed="false">
      <c r="A1" s="34" t="s">
        <v>645</v>
      </c>
    </row>
    <row r="2" customFormat="false" ht="15" hidden="false" customHeight="false" outlineLevel="0" collapsed="false">
      <c r="A2" s="35" t="s">
        <v>646</v>
      </c>
    </row>
    <row r="3" customFormat="false" ht="30" hidden="false" customHeight="true" outlineLevel="0" collapsed="false">
      <c r="A3" s="62" t="s">
        <v>100</v>
      </c>
      <c r="B3" s="63"/>
      <c r="C3" s="64" t="str">
        <f aca="false">WorkCentres!$C$2</f>
        <v>Press shop</v>
      </c>
      <c r="D3" s="64" t="str">
        <f aca="false">WorkCentres!$C$3</f>
        <v>Al die-casting</v>
      </c>
      <c r="E3" s="64" t="str">
        <f aca="false">WorkCentres!$C$4</f>
        <v>Injection moulding</v>
      </c>
      <c r="F3" s="64" t="str">
        <f aca="false">WorkCentres!$C$5</f>
        <v>Winding &amp; motor</v>
      </c>
      <c r="G3" s="64" t="str">
        <f aca="false">WorkCentres!$C$6</f>
        <v>Powder coating</v>
      </c>
      <c r="H3" s="64" t="str">
        <f aca="false">WorkCentres!$C$7</f>
        <v>FA-1 Fans &amp; coolers</v>
      </c>
      <c r="I3" s="64" t="str">
        <f aca="false">WorkCentres!$C$8</f>
        <v>FA-2 Kitchen</v>
      </c>
      <c r="J3" s="64" t="str">
        <f aca="false">WorkCentres!$C$9</f>
        <v>FA-3 Heating &amp; pumps</v>
      </c>
      <c r="K3" s="64" t="str">
        <f aca="false">WorkCentres!$C$10</f>
        <v>Packing &amp; dispatch</v>
      </c>
    </row>
    <row r="4" customFormat="false" ht="36" hidden="false" customHeight="true" outlineLevel="0" collapsed="false">
      <c r="A4" s="8" t="s">
        <v>172</v>
      </c>
      <c r="B4" s="8" t="s">
        <v>118</v>
      </c>
      <c r="C4" s="8" t="s">
        <v>595</v>
      </c>
      <c r="D4" s="8" t="s">
        <v>601</v>
      </c>
      <c r="E4" s="8" t="s">
        <v>607</v>
      </c>
      <c r="F4" s="8" t="s">
        <v>613</v>
      </c>
      <c r="G4" s="8" t="s">
        <v>619</v>
      </c>
      <c r="H4" s="8" t="s">
        <v>195</v>
      </c>
      <c r="I4" s="8" t="s">
        <v>220</v>
      </c>
      <c r="J4" s="8" t="s">
        <v>241</v>
      </c>
      <c r="K4" s="8" t="s">
        <v>637</v>
      </c>
      <c r="L4" s="8" t="s">
        <v>647</v>
      </c>
      <c r="M4" s="8" t="s">
        <v>648</v>
      </c>
    </row>
    <row r="5" customFormat="false" ht="15" hidden="false" customHeight="false" outlineLevel="0" collapsed="false">
      <c r="A5" s="6" t="s">
        <v>592</v>
      </c>
      <c r="B5" s="7"/>
      <c r="C5" s="45" t="n">
        <f aca="false">WorkCentres!$L$2</f>
        <v>780</v>
      </c>
      <c r="D5" s="45" t="n">
        <f aca="false">WorkCentres!$L$3</f>
        <v>2100</v>
      </c>
      <c r="E5" s="45" t="n">
        <f aca="false">WorkCentres!$L$4</f>
        <v>1300</v>
      </c>
      <c r="F5" s="45" t="n">
        <f aca="false">WorkCentres!$L$5</f>
        <v>420</v>
      </c>
      <c r="G5" s="45" t="n">
        <f aca="false">WorkCentres!$L$6</f>
        <v>3300</v>
      </c>
      <c r="H5" s="45" t="n">
        <f aca="false">WorkCentres!$L$7</f>
        <v>360</v>
      </c>
      <c r="I5" s="45" t="n">
        <f aca="false">WorkCentres!$L$8</f>
        <v>360</v>
      </c>
      <c r="J5" s="45" t="n">
        <f aca="false">WorkCentres!$L$9</f>
        <v>360</v>
      </c>
      <c r="K5" s="45" t="n">
        <f aca="false">WorkCentres!$L$10</f>
        <v>270</v>
      </c>
    </row>
    <row r="6" customFormat="false" ht="15" hidden="false" customHeight="false" outlineLevel="0" collapsed="false">
      <c r="A6" s="6" t="s">
        <v>191</v>
      </c>
      <c r="B6" s="43" t="str">
        <f aca="false">INDEX(Products!$B$2:$B$16,MATCH($A6,Products!$A$2:$A$16,0))</f>
        <v>Ceiling Fan 1200 mm - Induction</v>
      </c>
      <c r="C6" s="65" t="n">
        <v>2.71</v>
      </c>
      <c r="D6" s="65" t="n">
        <v>1.05</v>
      </c>
      <c r="E6" s="65" t="n">
        <v>0</v>
      </c>
      <c r="F6" s="65" t="n">
        <v>3.53</v>
      </c>
      <c r="G6" s="65" t="n">
        <v>0.23</v>
      </c>
      <c r="H6" s="65" t="n">
        <v>8.5</v>
      </c>
      <c r="I6" s="65" t="n">
        <v>0</v>
      </c>
      <c r="J6" s="65" t="n">
        <v>0</v>
      </c>
      <c r="K6" s="65" t="n">
        <v>1.25</v>
      </c>
      <c r="L6" s="66" t="n">
        <f aca="false">SUM(C6:K6)</f>
        <v>17.27</v>
      </c>
      <c r="M6" s="66" t="n">
        <f aca="false">SUMIF($C$4:$K$4,INDEX(Products!$E$2:$E$16,MATCH($A6,Products!$A$2:$A$16,0)),C6:K6)</f>
        <v>8.5</v>
      </c>
    </row>
    <row r="7" customFormat="false" ht="15" hidden="false" customHeight="false" outlineLevel="0" collapsed="false">
      <c r="A7" s="6" t="s">
        <v>197</v>
      </c>
      <c r="B7" s="43" t="str">
        <f aca="false">INDEX(Products!$B$2:$B$16,MATCH($A7,Products!$A$2:$A$16,0))</f>
        <v>Ceiling Fan 1200 mm - BLDC</v>
      </c>
      <c r="C7" s="65" t="n">
        <v>2.28</v>
      </c>
      <c r="D7" s="65" t="n">
        <v>0.97</v>
      </c>
      <c r="E7" s="65" t="n">
        <v>0</v>
      </c>
      <c r="F7" s="65" t="n">
        <v>2.95</v>
      </c>
      <c r="G7" s="65" t="n">
        <v>0.2</v>
      </c>
      <c r="H7" s="65" t="n">
        <v>9.5</v>
      </c>
      <c r="I7" s="65" t="n">
        <v>0</v>
      </c>
      <c r="J7" s="65" t="n">
        <v>0</v>
      </c>
      <c r="K7" s="65" t="n">
        <v>1.22</v>
      </c>
      <c r="L7" s="66" t="n">
        <f aca="false">SUM(C7:K7)</f>
        <v>17.12</v>
      </c>
      <c r="M7" s="66" t="n">
        <f aca="false">SUMIF($C$4:$K$4,INDEX(Products!$E$2:$E$16,MATCH($A7,Products!$A$2:$A$16,0)),C7:K7)</f>
        <v>9.5</v>
      </c>
    </row>
    <row r="8" customFormat="false" ht="15" hidden="false" customHeight="false" outlineLevel="0" collapsed="false">
      <c r="A8" s="6" t="s">
        <v>201</v>
      </c>
      <c r="B8" s="43" t="str">
        <f aca="false">INDEX(Products!$B$2:$B$16,MATCH($A8,Products!$A$2:$A$16,0))</f>
        <v>Pedestal Fan 400 mm</v>
      </c>
      <c r="C8" s="65" t="n">
        <v>1.8</v>
      </c>
      <c r="D8" s="65" t="n">
        <v>0.74</v>
      </c>
      <c r="E8" s="65" t="n">
        <v>1.08</v>
      </c>
      <c r="F8" s="65" t="n">
        <v>2.36</v>
      </c>
      <c r="G8" s="65" t="n">
        <v>0.2</v>
      </c>
      <c r="H8" s="65" t="n">
        <v>8</v>
      </c>
      <c r="I8" s="65" t="n">
        <v>0</v>
      </c>
      <c r="J8" s="65" t="n">
        <v>0</v>
      </c>
      <c r="K8" s="65" t="n">
        <v>1.7</v>
      </c>
      <c r="L8" s="66" t="n">
        <f aca="false">SUM(C8:K8)</f>
        <v>15.88</v>
      </c>
      <c r="M8" s="66" t="n">
        <f aca="false">SUMIF($C$4:$K$4,INDEX(Products!$E$2:$E$16,MATCH($A8,Products!$A$2:$A$16,0)),C8:K8)</f>
        <v>8</v>
      </c>
    </row>
    <row r="9" customFormat="false" ht="15" hidden="false" customHeight="false" outlineLevel="0" collapsed="false">
      <c r="A9" s="6" t="s">
        <v>205</v>
      </c>
      <c r="B9" s="43" t="str">
        <f aca="false">INDEX(Products!$B$2:$B$16,MATCH($A9,Products!$A$2:$A$16,0))</f>
        <v>Table Fan 400 mm</v>
      </c>
      <c r="C9" s="65" t="n">
        <v>1.16</v>
      </c>
      <c r="D9" s="65" t="n">
        <v>0.54</v>
      </c>
      <c r="E9" s="65" t="n">
        <v>1.05</v>
      </c>
      <c r="F9" s="65" t="n">
        <v>2.04</v>
      </c>
      <c r="G9" s="65" t="n">
        <v>0.12</v>
      </c>
      <c r="H9" s="65" t="n">
        <v>6</v>
      </c>
      <c r="I9" s="65" t="n">
        <v>0</v>
      </c>
      <c r="J9" s="65" t="n">
        <v>0</v>
      </c>
      <c r="K9" s="65" t="n">
        <v>1.1</v>
      </c>
      <c r="L9" s="66" t="n">
        <f aca="false">SUM(C9:K9)</f>
        <v>12.01</v>
      </c>
      <c r="M9" s="66" t="n">
        <f aca="false">SUMIF($C$4:$K$4,INDEX(Products!$E$2:$E$16,MATCH($A9,Products!$A$2:$A$16,0)),C9:K9)</f>
        <v>6</v>
      </c>
    </row>
    <row r="10" customFormat="false" ht="15" hidden="false" customHeight="false" outlineLevel="0" collapsed="false">
      <c r="A10" s="6" t="s">
        <v>208</v>
      </c>
      <c r="B10" s="43" t="str">
        <f aca="false">INDEX(Products!$B$2:$B$16,MATCH($A10,Products!$A$2:$A$16,0))</f>
        <v>Exhaust Fan 230 mm</v>
      </c>
      <c r="C10" s="65" t="n">
        <v>0.79</v>
      </c>
      <c r="D10" s="65" t="n">
        <v>0.34</v>
      </c>
      <c r="E10" s="65" t="n">
        <v>0.96</v>
      </c>
      <c r="F10" s="65" t="n">
        <v>1.39</v>
      </c>
      <c r="G10" s="65" t="n">
        <v>0.09</v>
      </c>
      <c r="H10" s="65" t="n">
        <v>4</v>
      </c>
      <c r="I10" s="65" t="n">
        <v>0</v>
      </c>
      <c r="J10" s="65" t="n">
        <v>0</v>
      </c>
      <c r="K10" s="65" t="n">
        <v>0.9</v>
      </c>
      <c r="L10" s="66" t="n">
        <f aca="false">SUM(C10:K10)</f>
        <v>8.47</v>
      </c>
      <c r="M10" s="66" t="n">
        <f aca="false">SUMIF($C$4:$K$4,INDEX(Products!$E$2:$E$16,MATCH($A10,Products!$A$2:$A$16,0)),C10:K10)</f>
        <v>4</v>
      </c>
    </row>
    <row r="11" customFormat="false" ht="15" hidden="false" customHeight="false" outlineLevel="0" collapsed="false">
      <c r="A11" s="6" t="s">
        <v>212</v>
      </c>
      <c r="B11" s="43" t="str">
        <f aca="false">INDEX(Products!$B$2:$B$16,MATCH($A11,Products!$A$2:$A$16,0))</f>
        <v>Personal Air Cooler 30 L</v>
      </c>
      <c r="C11" s="65" t="n">
        <v>0.79</v>
      </c>
      <c r="D11" s="65" t="n">
        <v>0.37</v>
      </c>
      <c r="E11" s="65" t="n">
        <v>5.55</v>
      </c>
      <c r="F11" s="65" t="n">
        <v>1.58</v>
      </c>
      <c r="G11" s="65" t="n">
        <v>0</v>
      </c>
      <c r="H11" s="65" t="n">
        <v>9</v>
      </c>
      <c r="I11" s="65" t="n">
        <v>0</v>
      </c>
      <c r="J11" s="65" t="n">
        <v>0</v>
      </c>
      <c r="K11" s="65" t="n">
        <v>2.1</v>
      </c>
      <c r="L11" s="66" t="n">
        <f aca="false">SUM(C11:K11)</f>
        <v>19.39</v>
      </c>
      <c r="M11" s="66" t="n">
        <f aca="false">SUMIF($C$4:$K$4,INDEX(Products!$E$2:$E$16,MATCH($A11,Products!$A$2:$A$16,0)),C11:K11)</f>
        <v>9</v>
      </c>
    </row>
    <row r="12" customFormat="false" ht="15" hidden="false" customHeight="false" outlineLevel="0" collapsed="false">
      <c r="A12" s="6" t="s">
        <v>216</v>
      </c>
      <c r="B12" s="43" t="str">
        <f aca="false">INDEX(Products!$B$2:$B$16,MATCH($A12,Products!$A$2:$A$16,0))</f>
        <v>Mixer Grinder 500 W</v>
      </c>
      <c r="C12" s="65" t="n">
        <v>1.42</v>
      </c>
      <c r="D12" s="65" t="n">
        <v>0.79</v>
      </c>
      <c r="E12" s="65" t="n">
        <v>1.24</v>
      </c>
      <c r="F12" s="65" t="n">
        <v>2.23</v>
      </c>
      <c r="G12" s="65" t="n">
        <v>0</v>
      </c>
      <c r="H12" s="65" t="n">
        <v>0</v>
      </c>
      <c r="I12" s="65" t="n">
        <v>7.5</v>
      </c>
      <c r="J12" s="65" t="n">
        <v>0</v>
      </c>
      <c r="K12" s="65" t="n">
        <v>1.05</v>
      </c>
      <c r="L12" s="66" t="n">
        <f aca="false">SUM(C12:K12)</f>
        <v>14.23</v>
      </c>
      <c r="M12" s="66" t="n">
        <f aca="false">SUMIF($C$4:$K$4,INDEX(Products!$E$2:$E$16,MATCH($A12,Products!$A$2:$A$16,0)),C12:K12)</f>
        <v>7.5</v>
      </c>
    </row>
    <row r="13" customFormat="false" ht="15" hidden="false" customHeight="false" outlineLevel="0" collapsed="false">
      <c r="A13" s="6" t="s">
        <v>222</v>
      </c>
      <c r="B13" s="43" t="str">
        <f aca="false">INDEX(Products!$B$2:$B$16,MATCH($A13,Products!$A$2:$A$16,0))</f>
        <v>Mixer Grinder 750 W</v>
      </c>
      <c r="C13" s="65" t="n">
        <v>1.79</v>
      </c>
      <c r="D13" s="65" t="n">
        <v>1.02</v>
      </c>
      <c r="E13" s="65" t="n">
        <v>1.36</v>
      </c>
      <c r="F13" s="65" t="n">
        <v>2.75</v>
      </c>
      <c r="G13" s="65" t="n">
        <v>0</v>
      </c>
      <c r="H13" s="65" t="n">
        <v>0</v>
      </c>
      <c r="I13" s="65" t="n">
        <v>8</v>
      </c>
      <c r="J13" s="65" t="n">
        <v>0</v>
      </c>
      <c r="K13" s="65" t="n">
        <v>1.12</v>
      </c>
      <c r="L13" s="66" t="n">
        <f aca="false">SUM(C13:K13)</f>
        <v>16.04</v>
      </c>
      <c r="M13" s="66" t="n">
        <f aca="false">SUMIF($C$4:$K$4,INDEX(Products!$E$2:$E$16,MATCH($A13,Products!$A$2:$A$16,0)),C13:K13)</f>
        <v>8</v>
      </c>
    </row>
    <row r="14" customFormat="false" ht="15" hidden="false" customHeight="false" outlineLevel="0" collapsed="false">
      <c r="A14" s="6" t="s">
        <v>225</v>
      </c>
      <c r="B14" s="43" t="str">
        <f aca="false">INDEX(Products!$B$2:$B$16,MATCH($A14,Products!$A$2:$A$16,0))</f>
        <v>Electric Kettle 1.5 L</v>
      </c>
      <c r="C14" s="65" t="n">
        <v>0.68</v>
      </c>
      <c r="D14" s="65" t="n">
        <v>0</v>
      </c>
      <c r="E14" s="65" t="n">
        <v>0.71</v>
      </c>
      <c r="F14" s="65" t="n">
        <v>1.06</v>
      </c>
      <c r="G14" s="65" t="n">
        <v>0</v>
      </c>
      <c r="H14" s="65" t="n">
        <v>0</v>
      </c>
      <c r="I14" s="65" t="n">
        <v>3.5</v>
      </c>
      <c r="J14" s="65" t="n">
        <v>0</v>
      </c>
      <c r="K14" s="65" t="n">
        <v>0.83</v>
      </c>
      <c r="L14" s="66" t="n">
        <f aca="false">SUM(C14:K14)</f>
        <v>6.78</v>
      </c>
      <c r="M14" s="66" t="n">
        <f aca="false">SUMIF($C$4:$K$4,INDEX(Products!$E$2:$E$16,MATCH($A14,Products!$A$2:$A$16,0)),C14:K14)</f>
        <v>3.5</v>
      </c>
    </row>
    <row r="15" customFormat="false" ht="15" hidden="false" customHeight="false" outlineLevel="0" collapsed="false">
      <c r="A15" s="6" t="s">
        <v>229</v>
      </c>
      <c r="B15" s="43" t="str">
        <f aca="false">INDEX(Products!$B$2:$B$16,MATCH($A15,Products!$A$2:$A$16,0))</f>
        <v>Induction Cooktop 2000 W</v>
      </c>
      <c r="C15" s="65" t="n">
        <v>0.86</v>
      </c>
      <c r="D15" s="65" t="n">
        <v>0.51</v>
      </c>
      <c r="E15" s="65" t="n">
        <v>0.75</v>
      </c>
      <c r="F15" s="65" t="n">
        <v>1.58</v>
      </c>
      <c r="G15" s="65" t="n">
        <v>0.09</v>
      </c>
      <c r="H15" s="65" t="n">
        <v>0</v>
      </c>
      <c r="I15" s="65" t="n">
        <v>6.5</v>
      </c>
      <c r="J15" s="65" t="n">
        <v>0</v>
      </c>
      <c r="K15" s="65" t="n">
        <v>0.95</v>
      </c>
      <c r="L15" s="66" t="n">
        <f aca="false">SUM(C15:K15)</f>
        <v>11.24</v>
      </c>
      <c r="M15" s="66" t="n">
        <f aca="false">SUMIF($C$4:$K$4,INDEX(Products!$E$2:$E$16,MATCH($A15,Products!$A$2:$A$16,0)),C15:K15)</f>
        <v>6.5</v>
      </c>
    </row>
    <row r="16" customFormat="false" ht="15" hidden="false" customHeight="false" outlineLevel="0" collapsed="false">
      <c r="A16" s="6" t="s">
        <v>233</v>
      </c>
      <c r="B16" s="43" t="str">
        <f aca="false">INDEX(Products!$B$2:$B$16,MATCH($A16,Products!$A$2:$A$16,0))</f>
        <v>Sandwich Maker 750 W</v>
      </c>
      <c r="C16" s="65" t="n">
        <v>0.54</v>
      </c>
      <c r="D16" s="65" t="n">
        <v>1.14</v>
      </c>
      <c r="E16" s="65" t="n">
        <v>0.64</v>
      </c>
      <c r="F16" s="65" t="n">
        <v>1.37</v>
      </c>
      <c r="G16" s="65" t="n">
        <v>0</v>
      </c>
      <c r="H16" s="65" t="n">
        <v>0</v>
      </c>
      <c r="I16" s="65" t="n">
        <v>3.8</v>
      </c>
      <c r="J16" s="65" t="n">
        <v>0</v>
      </c>
      <c r="K16" s="65" t="n">
        <v>0.83</v>
      </c>
      <c r="L16" s="66" t="n">
        <f aca="false">SUM(C16:K16)</f>
        <v>8.32</v>
      </c>
      <c r="M16" s="66" t="n">
        <f aca="false">SUMIF($C$4:$K$4,INDEX(Products!$E$2:$E$16,MATCH($A16,Products!$A$2:$A$16,0)),C16:K16)</f>
        <v>3.8</v>
      </c>
    </row>
    <row r="17" customFormat="false" ht="15" hidden="false" customHeight="false" outlineLevel="0" collapsed="false">
      <c r="A17" s="6" t="s">
        <v>237</v>
      </c>
      <c r="B17" s="43" t="str">
        <f aca="false">INDEX(Products!$B$2:$B$16,MATCH($A17,Products!$A$2:$A$16,0))</f>
        <v>Fan Room Heater 2000 W</v>
      </c>
      <c r="C17" s="65" t="n">
        <v>1.13</v>
      </c>
      <c r="D17" s="65" t="n">
        <v>0.4</v>
      </c>
      <c r="E17" s="65" t="n">
        <v>1</v>
      </c>
      <c r="F17" s="65" t="n">
        <v>2.23</v>
      </c>
      <c r="G17" s="65" t="n">
        <v>0.14</v>
      </c>
      <c r="H17" s="65" t="n">
        <v>0</v>
      </c>
      <c r="I17" s="65" t="n">
        <v>0</v>
      </c>
      <c r="J17" s="65" t="n">
        <v>6</v>
      </c>
      <c r="K17" s="65" t="n">
        <v>1.05</v>
      </c>
      <c r="L17" s="66" t="n">
        <f aca="false">SUM(C17:K17)</f>
        <v>11.95</v>
      </c>
      <c r="M17" s="66" t="n">
        <f aca="false">SUMIF($C$4:$K$4,INDEX(Products!$E$2:$E$16,MATCH($A17,Products!$A$2:$A$16,0)),C17:K17)</f>
        <v>6</v>
      </c>
    </row>
    <row r="18" customFormat="false" ht="15" hidden="false" customHeight="false" outlineLevel="0" collapsed="false">
      <c r="A18" s="6" t="s">
        <v>243</v>
      </c>
      <c r="B18" s="43" t="str">
        <f aca="false">INDEX(Products!$B$2:$B$16,MATCH($A18,Products!$A$2:$A$16,0))</f>
        <v>Immersion Water Heater Rod 1500 W</v>
      </c>
      <c r="C18" s="65" t="n">
        <v>0.36</v>
      </c>
      <c r="D18" s="65" t="n">
        <v>0</v>
      </c>
      <c r="E18" s="65" t="n">
        <v>0.41</v>
      </c>
      <c r="F18" s="65" t="n">
        <v>1.46</v>
      </c>
      <c r="G18" s="65" t="n">
        <v>0</v>
      </c>
      <c r="H18" s="65" t="n">
        <v>0</v>
      </c>
      <c r="I18" s="65" t="n">
        <v>0</v>
      </c>
      <c r="J18" s="65" t="n">
        <v>2</v>
      </c>
      <c r="K18" s="65" t="n">
        <v>0.62</v>
      </c>
      <c r="L18" s="66" t="n">
        <f aca="false">SUM(C18:K18)</f>
        <v>4.85</v>
      </c>
      <c r="M18" s="66" t="n">
        <f aca="false">SUMIF($C$4:$K$4,INDEX(Products!$E$2:$E$16,MATCH($A18,Products!$A$2:$A$16,0)),C18:K18)</f>
        <v>2</v>
      </c>
    </row>
    <row r="19" customFormat="false" ht="15" hidden="false" customHeight="false" outlineLevel="0" collapsed="false">
      <c r="A19" s="6" t="s">
        <v>247</v>
      </c>
      <c r="B19" s="43" t="str">
        <f aca="false">INDEX(Products!$B$2:$B$16,MATCH($A19,Products!$A$2:$A$16,0))</f>
        <v>Dry Iron 1000 W</v>
      </c>
      <c r="C19" s="65" t="n">
        <v>0.36</v>
      </c>
      <c r="D19" s="65" t="n">
        <v>0.79</v>
      </c>
      <c r="E19" s="65" t="n">
        <v>0.67</v>
      </c>
      <c r="F19" s="65" t="n">
        <v>1.28</v>
      </c>
      <c r="G19" s="65" t="n">
        <v>0</v>
      </c>
      <c r="H19" s="65" t="n">
        <v>0</v>
      </c>
      <c r="I19" s="65" t="n">
        <v>0</v>
      </c>
      <c r="J19" s="65" t="n">
        <v>3.5</v>
      </c>
      <c r="K19" s="65" t="n">
        <v>0.8</v>
      </c>
      <c r="L19" s="66" t="n">
        <f aca="false">SUM(C19:K19)</f>
        <v>7.4</v>
      </c>
      <c r="M19" s="66" t="n">
        <f aca="false">SUMIF($C$4:$K$4,INDEX(Products!$E$2:$E$16,MATCH($A19,Products!$A$2:$A$16,0)),C19:K19)</f>
        <v>3.5</v>
      </c>
    </row>
    <row r="20" customFormat="false" ht="15" hidden="false" customHeight="false" outlineLevel="0" collapsed="false">
      <c r="A20" s="6" t="s">
        <v>251</v>
      </c>
      <c r="B20" s="43" t="str">
        <f aca="false">INDEX(Products!$B$2:$B$16,MATCH($A20,Products!$A$2:$A$16,0))</f>
        <v>Water Pump 0.5 HP Monoblock</v>
      </c>
      <c r="C20" s="65" t="n">
        <v>3.15</v>
      </c>
      <c r="D20" s="65" t="n">
        <v>2.41</v>
      </c>
      <c r="E20" s="65" t="n">
        <v>0.64</v>
      </c>
      <c r="F20" s="65" t="n">
        <v>6</v>
      </c>
      <c r="G20" s="65" t="n">
        <v>0.18</v>
      </c>
      <c r="H20" s="65" t="n">
        <v>0</v>
      </c>
      <c r="I20" s="65" t="n">
        <v>0</v>
      </c>
      <c r="J20" s="65" t="n">
        <v>10.5</v>
      </c>
      <c r="K20" s="65" t="n">
        <v>1.35</v>
      </c>
      <c r="L20" s="66" t="n">
        <f aca="false">SUM(C20:K20)</f>
        <v>24.23</v>
      </c>
      <c r="M20" s="66" t="n">
        <f aca="false">SUMIF($C$4:$K$4,INDEX(Products!$E$2:$E$16,MATCH($A20,Products!$A$2:$A$16,0)),C20:K20)</f>
        <v>10.5</v>
      </c>
    </row>
    <row r="21" customFormat="false" ht="15" hidden="false" customHeight="false" outlineLevel="0" collapsed="false">
      <c r="A21" s="46" t="s">
        <v>649</v>
      </c>
      <c r="B21" s="47"/>
      <c r="C21" s="67" t="n">
        <f aca="false">COUNTIF(C6:C20,"&gt;0")</f>
        <v>15</v>
      </c>
      <c r="D21" s="67" t="n">
        <f aca="false">COUNTIF(D6:D20,"&gt;0")</f>
        <v>13</v>
      </c>
      <c r="E21" s="67" t="n">
        <f aca="false">COUNTIF(E6:E20,"&gt;0")</f>
        <v>13</v>
      </c>
      <c r="F21" s="67" t="n">
        <f aca="false">COUNTIF(F6:F20,"&gt;0")</f>
        <v>15</v>
      </c>
      <c r="G21" s="67" t="n">
        <f aca="false">COUNTIF(G6:G20,"&gt;0")</f>
        <v>8</v>
      </c>
      <c r="H21" s="67" t="n">
        <f aca="false">COUNTIF(H6:H20,"&gt;0")</f>
        <v>6</v>
      </c>
      <c r="I21" s="67" t="n">
        <f aca="false">COUNTIF(I6:I20,"&gt;0")</f>
        <v>5</v>
      </c>
      <c r="J21" s="67" t="n">
        <f aca="false">COUNTIF(J6:J20,"&gt;0")</f>
        <v>4</v>
      </c>
      <c r="K21" s="67" t="n">
        <f aca="false">COUNTIF(K6:K20,"&gt;0")</f>
        <v>15</v>
      </c>
      <c r="L21" s="68" t="n">
        <f aca="false">AVERAGE(L6:L20)</f>
        <v>13.012</v>
      </c>
      <c r="M21" s="47"/>
    </row>
    <row r="23" customFormat="false" ht="19.5" hidden="false" customHeight="true" outlineLevel="0" collapsed="false">
      <c r="A23" s="3" t="s">
        <v>650</v>
      </c>
      <c r="B23" s="4"/>
      <c r="C23" s="4"/>
      <c r="D23" s="4"/>
      <c r="E23" s="4"/>
      <c r="F23" s="4"/>
      <c r="G23" s="4"/>
      <c r="H23" s="4"/>
      <c r="I23" s="4"/>
      <c r="J23" s="4"/>
      <c r="K23" s="4"/>
      <c r="L23" s="4"/>
      <c r="M23" s="4"/>
    </row>
    <row r="24" customFormat="false" ht="30" hidden="false" customHeight="true" outlineLevel="0" collapsed="false">
      <c r="A24" s="8" t="s">
        <v>172</v>
      </c>
      <c r="B24" s="8" t="s">
        <v>118</v>
      </c>
      <c r="C24" s="8" t="s">
        <v>595</v>
      </c>
      <c r="D24" s="8" t="s">
        <v>601</v>
      </c>
      <c r="E24" s="8" t="s">
        <v>607</v>
      </c>
      <c r="F24" s="8" t="s">
        <v>613</v>
      </c>
      <c r="G24" s="8" t="s">
        <v>619</v>
      </c>
      <c r="H24" s="8" t="s">
        <v>195</v>
      </c>
      <c r="I24" s="8" t="s">
        <v>220</v>
      </c>
      <c r="J24" s="8" t="s">
        <v>241</v>
      </c>
      <c r="K24" s="8" t="s">
        <v>637</v>
      </c>
      <c r="L24" s="8" t="s">
        <v>182</v>
      </c>
    </row>
    <row r="25" customFormat="false" ht="15" hidden="false" customHeight="false" outlineLevel="0" collapsed="false">
      <c r="A25" s="6" t="str">
        <f aca="false">A6</f>
        <v>P01</v>
      </c>
      <c r="B25" s="7" t="str">
        <f aca="false">B6</f>
        <v>Ceiling Fan 1200 mm - Induction</v>
      </c>
      <c r="C25" s="69" t="n">
        <f aca="false">C6*C$5/60</f>
        <v>35.23</v>
      </c>
      <c r="D25" s="69" t="n">
        <f aca="false">D6*D$5/60</f>
        <v>36.75</v>
      </c>
      <c r="E25" s="69" t="n">
        <f aca="false">E6*E$5/60</f>
        <v>0</v>
      </c>
      <c r="F25" s="69" t="n">
        <f aca="false">F6*F$5/60</f>
        <v>24.71</v>
      </c>
      <c r="G25" s="69" t="n">
        <f aca="false">G6*G$5/60</f>
        <v>12.65</v>
      </c>
      <c r="H25" s="69" t="n">
        <f aca="false">H6*H$5/60</f>
        <v>51</v>
      </c>
      <c r="I25" s="69" t="n">
        <f aca="false">I6*I$5/60</f>
        <v>0</v>
      </c>
      <c r="J25" s="69" t="n">
        <f aca="false">J6*J$5/60</f>
        <v>0</v>
      </c>
      <c r="K25" s="69" t="n">
        <f aca="false">K6*K$5/60</f>
        <v>5.625</v>
      </c>
      <c r="L25" s="70" t="n">
        <f aca="false">SUM(C25:K25)</f>
        <v>165.965</v>
      </c>
    </row>
    <row r="26" customFormat="false" ht="15" hidden="false" customHeight="false" outlineLevel="0" collapsed="false">
      <c r="A26" s="6" t="str">
        <f aca="false">A7</f>
        <v>P02</v>
      </c>
      <c r="B26" s="7" t="str">
        <f aca="false">B7</f>
        <v>Ceiling Fan 1200 mm - BLDC</v>
      </c>
      <c r="C26" s="69" t="n">
        <f aca="false">C7*C$5/60</f>
        <v>29.64</v>
      </c>
      <c r="D26" s="69" t="n">
        <f aca="false">D7*D$5/60</f>
        <v>33.95</v>
      </c>
      <c r="E26" s="69" t="n">
        <f aca="false">E7*E$5/60</f>
        <v>0</v>
      </c>
      <c r="F26" s="69" t="n">
        <f aca="false">F7*F$5/60</f>
        <v>20.65</v>
      </c>
      <c r="G26" s="69" t="n">
        <f aca="false">G7*G$5/60</f>
        <v>11</v>
      </c>
      <c r="H26" s="69" t="n">
        <f aca="false">H7*H$5/60</f>
        <v>57</v>
      </c>
      <c r="I26" s="69" t="n">
        <f aca="false">I7*I$5/60</f>
        <v>0</v>
      </c>
      <c r="J26" s="69" t="n">
        <f aca="false">J7*J$5/60</f>
        <v>0</v>
      </c>
      <c r="K26" s="69" t="n">
        <f aca="false">K7*K$5/60</f>
        <v>5.49</v>
      </c>
      <c r="L26" s="70" t="n">
        <f aca="false">SUM(C26:K26)</f>
        <v>157.73</v>
      </c>
    </row>
    <row r="27" customFormat="false" ht="15" hidden="false" customHeight="false" outlineLevel="0" collapsed="false">
      <c r="A27" s="6" t="str">
        <f aca="false">A8</f>
        <v>P03</v>
      </c>
      <c r="B27" s="7" t="str">
        <f aca="false">B8</f>
        <v>Pedestal Fan 400 mm</v>
      </c>
      <c r="C27" s="69" t="n">
        <f aca="false">C8*C$5/60</f>
        <v>23.4</v>
      </c>
      <c r="D27" s="69" t="n">
        <f aca="false">D8*D$5/60</f>
        <v>25.9</v>
      </c>
      <c r="E27" s="69" t="n">
        <f aca="false">E8*E$5/60</f>
        <v>23.4</v>
      </c>
      <c r="F27" s="69" t="n">
        <f aca="false">F8*F$5/60</f>
        <v>16.52</v>
      </c>
      <c r="G27" s="69" t="n">
        <f aca="false">G8*G$5/60</f>
        <v>11</v>
      </c>
      <c r="H27" s="69" t="n">
        <f aca="false">H8*H$5/60</f>
        <v>48</v>
      </c>
      <c r="I27" s="69" t="n">
        <f aca="false">I8*I$5/60</f>
        <v>0</v>
      </c>
      <c r="J27" s="69" t="n">
        <f aca="false">J8*J$5/60</f>
        <v>0</v>
      </c>
      <c r="K27" s="69" t="n">
        <f aca="false">K8*K$5/60</f>
        <v>7.65</v>
      </c>
      <c r="L27" s="70" t="n">
        <f aca="false">SUM(C27:K27)</f>
        <v>155.87</v>
      </c>
    </row>
    <row r="28" customFormat="false" ht="15" hidden="false" customHeight="false" outlineLevel="0" collapsed="false">
      <c r="A28" s="6" t="str">
        <f aca="false">A9</f>
        <v>P04</v>
      </c>
      <c r="B28" s="7" t="str">
        <f aca="false">B9</f>
        <v>Table Fan 400 mm</v>
      </c>
      <c r="C28" s="69" t="n">
        <f aca="false">C9*C$5/60</f>
        <v>15.08</v>
      </c>
      <c r="D28" s="69" t="n">
        <f aca="false">D9*D$5/60</f>
        <v>18.9</v>
      </c>
      <c r="E28" s="69" t="n">
        <f aca="false">E9*E$5/60</f>
        <v>22.75</v>
      </c>
      <c r="F28" s="69" t="n">
        <f aca="false">F9*F$5/60</f>
        <v>14.28</v>
      </c>
      <c r="G28" s="69" t="n">
        <f aca="false">G9*G$5/60</f>
        <v>6.6</v>
      </c>
      <c r="H28" s="69" t="n">
        <f aca="false">H9*H$5/60</f>
        <v>36</v>
      </c>
      <c r="I28" s="69" t="n">
        <f aca="false">I9*I$5/60</f>
        <v>0</v>
      </c>
      <c r="J28" s="69" t="n">
        <f aca="false">J9*J$5/60</f>
        <v>0</v>
      </c>
      <c r="K28" s="69" t="n">
        <f aca="false">K9*K$5/60</f>
        <v>4.95</v>
      </c>
      <c r="L28" s="70" t="n">
        <f aca="false">SUM(C28:K28)</f>
        <v>118.56</v>
      </c>
    </row>
    <row r="29" customFormat="false" ht="15" hidden="false" customHeight="false" outlineLevel="0" collapsed="false">
      <c r="A29" s="6" t="str">
        <f aca="false">A10</f>
        <v>P05</v>
      </c>
      <c r="B29" s="7" t="str">
        <f aca="false">B10</f>
        <v>Exhaust Fan 230 mm</v>
      </c>
      <c r="C29" s="69" t="n">
        <f aca="false">C10*C$5/60</f>
        <v>10.27</v>
      </c>
      <c r="D29" s="69" t="n">
        <f aca="false">D10*D$5/60</f>
        <v>11.9</v>
      </c>
      <c r="E29" s="69" t="n">
        <f aca="false">E10*E$5/60</f>
        <v>20.8</v>
      </c>
      <c r="F29" s="69" t="n">
        <f aca="false">F10*F$5/60</f>
        <v>9.73</v>
      </c>
      <c r="G29" s="69" t="n">
        <f aca="false">G10*G$5/60</f>
        <v>4.95</v>
      </c>
      <c r="H29" s="69" t="n">
        <f aca="false">H10*H$5/60</f>
        <v>24</v>
      </c>
      <c r="I29" s="69" t="n">
        <f aca="false">I10*I$5/60</f>
        <v>0</v>
      </c>
      <c r="J29" s="69" t="n">
        <f aca="false">J10*J$5/60</f>
        <v>0</v>
      </c>
      <c r="K29" s="69" t="n">
        <f aca="false">K10*K$5/60</f>
        <v>4.05</v>
      </c>
      <c r="L29" s="70" t="n">
        <f aca="false">SUM(C29:K29)</f>
        <v>85.7</v>
      </c>
    </row>
    <row r="30" customFormat="false" ht="15" hidden="false" customHeight="false" outlineLevel="0" collapsed="false">
      <c r="A30" s="6" t="str">
        <f aca="false">A11</f>
        <v>P06</v>
      </c>
      <c r="B30" s="7" t="str">
        <f aca="false">B11</f>
        <v>Personal Air Cooler 30 L</v>
      </c>
      <c r="C30" s="69" t="n">
        <f aca="false">C11*C$5/60</f>
        <v>10.27</v>
      </c>
      <c r="D30" s="69" t="n">
        <f aca="false">D11*D$5/60</f>
        <v>12.95</v>
      </c>
      <c r="E30" s="69" t="n">
        <f aca="false">E11*E$5/60</f>
        <v>120.25</v>
      </c>
      <c r="F30" s="69" t="n">
        <f aca="false">F11*F$5/60</f>
        <v>11.06</v>
      </c>
      <c r="G30" s="69" t="n">
        <f aca="false">G11*G$5/60</f>
        <v>0</v>
      </c>
      <c r="H30" s="69" t="n">
        <f aca="false">H11*H$5/60</f>
        <v>54</v>
      </c>
      <c r="I30" s="69" t="n">
        <f aca="false">I11*I$5/60</f>
        <v>0</v>
      </c>
      <c r="J30" s="69" t="n">
        <f aca="false">J11*J$5/60</f>
        <v>0</v>
      </c>
      <c r="K30" s="69" t="n">
        <f aca="false">K11*K$5/60</f>
        <v>9.45</v>
      </c>
      <c r="L30" s="70" t="n">
        <f aca="false">SUM(C30:K30)</f>
        <v>217.98</v>
      </c>
    </row>
    <row r="31" customFormat="false" ht="15" hidden="false" customHeight="false" outlineLevel="0" collapsed="false">
      <c r="A31" s="6" t="str">
        <f aca="false">A12</f>
        <v>P07</v>
      </c>
      <c r="B31" s="7" t="str">
        <f aca="false">B12</f>
        <v>Mixer Grinder 500 W</v>
      </c>
      <c r="C31" s="69" t="n">
        <f aca="false">C12*C$5/60</f>
        <v>18.46</v>
      </c>
      <c r="D31" s="69" t="n">
        <f aca="false">D12*D$5/60</f>
        <v>27.65</v>
      </c>
      <c r="E31" s="69" t="n">
        <f aca="false">E12*E$5/60</f>
        <v>26.8666666666667</v>
      </c>
      <c r="F31" s="69" t="n">
        <f aca="false">F12*F$5/60</f>
        <v>15.61</v>
      </c>
      <c r="G31" s="69" t="n">
        <f aca="false">G12*G$5/60</f>
        <v>0</v>
      </c>
      <c r="H31" s="69" t="n">
        <f aca="false">H12*H$5/60</f>
        <v>0</v>
      </c>
      <c r="I31" s="69" t="n">
        <f aca="false">I12*I$5/60</f>
        <v>45</v>
      </c>
      <c r="J31" s="69" t="n">
        <f aca="false">J12*J$5/60</f>
        <v>0</v>
      </c>
      <c r="K31" s="69" t="n">
        <f aca="false">K12*K$5/60</f>
        <v>4.725</v>
      </c>
      <c r="L31" s="70" t="n">
        <f aca="false">SUM(C31:K31)</f>
        <v>138.311666666667</v>
      </c>
    </row>
    <row r="32" customFormat="false" ht="15" hidden="false" customHeight="false" outlineLevel="0" collapsed="false">
      <c r="A32" s="6" t="str">
        <f aca="false">A13</f>
        <v>P08</v>
      </c>
      <c r="B32" s="7" t="str">
        <f aca="false">B13</f>
        <v>Mixer Grinder 750 W</v>
      </c>
      <c r="C32" s="69" t="n">
        <f aca="false">C13*C$5/60</f>
        <v>23.27</v>
      </c>
      <c r="D32" s="69" t="n">
        <f aca="false">D13*D$5/60</f>
        <v>35.7</v>
      </c>
      <c r="E32" s="69" t="n">
        <f aca="false">E13*E$5/60</f>
        <v>29.4666666666667</v>
      </c>
      <c r="F32" s="69" t="n">
        <f aca="false">F13*F$5/60</f>
        <v>19.25</v>
      </c>
      <c r="G32" s="69" t="n">
        <f aca="false">G13*G$5/60</f>
        <v>0</v>
      </c>
      <c r="H32" s="69" t="n">
        <f aca="false">H13*H$5/60</f>
        <v>0</v>
      </c>
      <c r="I32" s="69" t="n">
        <f aca="false">I13*I$5/60</f>
        <v>48</v>
      </c>
      <c r="J32" s="69" t="n">
        <f aca="false">J13*J$5/60</f>
        <v>0</v>
      </c>
      <c r="K32" s="69" t="n">
        <f aca="false">K13*K$5/60</f>
        <v>5.04</v>
      </c>
      <c r="L32" s="70" t="n">
        <f aca="false">SUM(C32:K32)</f>
        <v>160.726666666667</v>
      </c>
    </row>
    <row r="33" customFormat="false" ht="15" hidden="false" customHeight="false" outlineLevel="0" collapsed="false">
      <c r="A33" s="6" t="str">
        <f aca="false">A14</f>
        <v>P09</v>
      </c>
      <c r="B33" s="7" t="str">
        <f aca="false">B14</f>
        <v>Electric Kettle 1.5 L</v>
      </c>
      <c r="C33" s="69" t="n">
        <f aca="false">C14*C$5/60</f>
        <v>8.84</v>
      </c>
      <c r="D33" s="69" t="n">
        <f aca="false">D14*D$5/60</f>
        <v>0</v>
      </c>
      <c r="E33" s="69" t="n">
        <f aca="false">E14*E$5/60</f>
        <v>15.3833333333333</v>
      </c>
      <c r="F33" s="69" t="n">
        <f aca="false">F14*F$5/60</f>
        <v>7.42</v>
      </c>
      <c r="G33" s="69" t="n">
        <f aca="false">G14*G$5/60</f>
        <v>0</v>
      </c>
      <c r="H33" s="69" t="n">
        <f aca="false">H14*H$5/60</f>
        <v>0</v>
      </c>
      <c r="I33" s="69" t="n">
        <f aca="false">I14*I$5/60</f>
        <v>21</v>
      </c>
      <c r="J33" s="69" t="n">
        <f aca="false">J14*J$5/60</f>
        <v>0</v>
      </c>
      <c r="K33" s="69" t="n">
        <f aca="false">K14*K$5/60</f>
        <v>3.735</v>
      </c>
      <c r="L33" s="70" t="n">
        <f aca="false">SUM(C33:K33)</f>
        <v>56.3783333333333</v>
      </c>
    </row>
    <row r="34" customFormat="false" ht="15" hidden="false" customHeight="false" outlineLevel="0" collapsed="false">
      <c r="A34" s="6" t="str">
        <f aca="false">A15</f>
        <v>P10</v>
      </c>
      <c r="B34" s="7" t="str">
        <f aca="false">B15</f>
        <v>Induction Cooktop 2000 W</v>
      </c>
      <c r="C34" s="69" t="n">
        <f aca="false">C15*C$5/60</f>
        <v>11.18</v>
      </c>
      <c r="D34" s="69" t="n">
        <f aca="false">D15*D$5/60</f>
        <v>17.85</v>
      </c>
      <c r="E34" s="69" t="n">
        <f aca="false">E15*E$5/60</f>
        <v>16.25</v>
      </c>
      <c r="F34" s="69" t="n">
        <f aca="false">F15*F$5/60</f>
        <v>11.06</v>
      </c>
      <c r="G34" s="69" t="n">
        <f aca="false">G15*G$5/60</f>
        <v>4.95</v>
      </c>
      <c r="H34" s="69" t="n">
        <f aca="false">H15*H$5/60</f>
        <v>0</v>
      </c>
      <c r="I34" s="69" t="n">
        <f aca="false">I15*I$5/60</f>
        <v>39</v>
      </c>
      <c r="J34" s="69" t="n">
        <f aca="false">J15*J$5/60</f>
        <v>0</v>
      </c>
      <c r="K34" s="69" t="n">
        <f aca="false">K15*K$5/60</f>
        <v>4.275</v>
      </c>
      <c r="L34" s="70" t="n">
        <f aca="false">SUM(C34:K34)</f>
        <v>104.565</v>
      </c>
    </row>
    <row r="35" customFormat="false" ht="15" hidden="false" customHeight="false" outlineLevel="0" collapsed="false">
      <c r="A35" s="6" t="str">
        <f aca="false">A16</f>
        <v>P11</v>
      </c>
      <c r="B35" s="7" t="str">
        <f aca="false">B16</f>
        <v>Sandwich Maker 750 W</v>
      </c>
      <c r="C35" s="69" t="n">
        <f aca="false">C16*C$5/60</f>
        <v>7.02</v>
      </c>
      <c r="D35" s="69" t="n">
        <f aca="false">D16*D$5/60</f>
        <v>39.9</v>
      </c>
      <c r="E35" s="69" t="n">
        <f aca="false">E16*E$5/60</f>
        <v>13.8666666666667</v>
      </c>
      <c r="F35" s="69" t="n">
        <f aca="false">F16*F$5/60</f>
        <v>9.59</v>
      </c>
      <c r="G35" s="69" t="n">
        <f aca="false">G16*G$5/60</f>
        <v>0</v>
      </c>
      <c r="H35" s="69" t="n">
        <f aca="false">H16*H$5/60</f>
        <v>0</v>
      </c>
      <c r="I35" s="69" t="n">
        <f aca="false">I16*I$5/60</f>
        <v>22.8</v>
      </c>
      <c r="J35" s="69" t="n">
        <f aca="false">J16*J$5/60</f>
        <v>0</v>
      </c>
      <c r="K35" s="69" t="n">
        <f aca="false">K16*K$5/60</f>
        <v>3.735</v>
      </c>
      <c r="L35" s="70" t="n">
        <f aca="false">SUM(C35:K35)</f>
        <v>96.9116666666667</v>
      </c>
    </row>
    <row r="36" customFormat="false" ht="15" hidden="false" customHeight="false" outlineLevel="0" collapsed="false">
      <c r="A36" s="6" t="str">
        <f aca="false">A17</f>
        <v>P12</v>
      </c>
      <c r="B36" s="7" t="str">
        <f aca="false">B17</f>
        <v>Fan Room Heater 2000 W</v>
      </c>
      <c r="C36" s="69" t="n">
        <f aca="false">C17*C$5/60</f>
        <v>14.69</v>
      </c>
      <c r="D36" s="69" t="n">
        <f aca="false">D17*D$5/60</f>
        <v>14</v>
      </c>
      <c r="E36" s="69" t="n">
        <f aca="false">E17*E$5/60</f>
        <v>21.6666666666667</v>
      </c>
      <c r="F36" s="69" t="n">
        <f aca="false">F17*F$5/60</f>
        <v>15.61</v>
      </c>
      <c r="G36" s="69" t="n">
        <f aca="false">G17*G$5/60</f>
        <v>7.7</v>
      </c>
      <c r="H36" s="69" t="n">
        <f aca="false">H17*H$5/60</f>
        <v>0</v>
      </c>
      <c r="I36" s="69" t="n">
        <f aca="false">I17*I$5/60</f>
        <v>0</v>
      </c>
      <c r="J36" s="69" t="n">
        <f aca="false">J17*J$5/60</f>
        <v>36</v>
      </c>
      <c r="K36" s="69" t="n">
        <f aca="false">K17*K$5/60</f>
        <v>4.725</v>
      </c>
      <c r="L36" s="70" t="n">
        <f aca="false">SUM(C36:K36)</f>
        <v>114.391666666667</v>
      </c>
    </row>
    <row r="37" customFormat="false" ht="15" hidden="false" customHeight="false" outlineLevel="0" collapsed="false">
      <c r="A37" s="6" t="str">
        <f aca="false">A18</f>
        <v>P13</v>
      </c>
      <c r="B37" s="7" t="str">
        <f aca="false">B18</f>
        <v>Immersion Water Heater Rod 1500 W</v>
      </c>
      <c r="C37" s="69" t="n">
        <f aca="false">C18*C$5/60</f>
        <v>4.68</v>
      </c>
      <c r="D37" s="69" t="n">
        <f aca="false">D18*D$5/60</f>
        <v>0</v>
      </c>
      <c r="E37" s="69" t="n">
        <f aca="false">E18*E$5/60</f>
        <v>8.88333333333333</v>
      </c>
      <c r="F37" s="69" t="n">
        <f aca="false">F18*F$5/60</f>
        <v>10.22</v>
      </c>
      <c r="G37" s="69" t="n">
        <f aca="false">G18*G$5/60</f>
        <v>0</v>
      </c>
      <c r="H37" s="69" t="n">
        <f aca="false">H18*H$5/60</f>
        <v>0</v>
      </c>
      <c r="I37" s="69" t="n">
        <f aca="false">I18*I$5/60</f>
        <v>0</v>
      </c>
      <c r="J37" s="69" t="n">
        <f aca="false">J18*J$5/60</f>
        <v>12</v>
      </c>
      <c r="K37" s="69" t="n">
        <f aca="false">K18*K$5/60</f>
        <v>2.79</v>
      </c>
      <c r="L37" s="70" t="n">
        <f aca="false">SUM(C37:K37)</f>
        <v>38.5733333333333</v>
      </c>
    </row>
    <row r="38" customFormat="false" ht="15" hidden="false" customHeight="false" outlineLevel="0" collapsed="false">
      <c r="A38" s="6" t="str">
        <f aca="false">A19</f>
        <v>P14</v>
      </c>
      <c r="B38" s="7" t="str">
        <f aca="false">B19</f>
        <v>Dry Iron 1000 W</v>
      </c>
      <c r="C38" s="69" t="n">
        <f aca="false">C19*C$5/60</f>
        <v>4.68</v>
      </c>
      <c r="D38" s="69" t="n">
        <f aca="false">D19*D$5/60</f>
        <v>27.65</v>
      </c>
      <c r="E38" s="69" t="n">
        <f aca="false">E19*E$5/60</f>
        <v>14.5166666666667</v>
      </c>
      <c r="F38" s="69" t="n">
        <f aca="false">F19*F$5/60</f>
        <v>8.96</v>
      </c>
      <c r="G38" s="69" t="n">
        <f aca="false">G19*G$5/60</f>
        <v>0</v>
      </c>
      <c r="H38" s="69" t="n">
        <f aca="false">H19*H$5/60</f>
        <v>0</v>
      </c>
      <c r="I38" s="69" t="n">
        <f aca="false">I19*I$5/60</f>
        <v>0</v>
      </c>
      <c r="J38" s="69" t="n">
        <f aca="false">J19*J$5/60</f>
        <v>21</v>
      </c>
      <c r="K38" s="69" t="n">
        <f aca="false">K19*K$5/60</f>
        <v>3.6</v>
      </c>
      <c r="L38" s="70" t="n">
        <f aca="false">SUM(C38:K38)</f>
        <v>80.4066666666667</v>
      </c>
    </row>
    <row r="39" customFormat="false" ht="15" hidden="false" customHeight="false" outlineLevel="0" collapsed="false">
      <c r="A39" s="6" t="str">
        <f aca="false">A20</f>
        <v>P15</v>
      </c>
      <c r="B39" s="7" t="str">
        <f aca="false">B20</f>
        <v>Water Pump 0.5 HP Monoblock</v>
      </c>
      <c r="C39" s="69" t="n">
        <f aca="false">C20*C$5/60</f>
        <v>40.95</v>
      </c>
      <c r="D39" s="69" t="n">
        <f aca="false">D20*D$5/60</f>
        <v>84.35</v>
      </c>
      <c r="E39" s="69" t="n">
        <f aca="false">E20*E$5/60</f>
        <v>13.8666666666667</v>
      </c>
      <c r="F39" s="69" t="n">
        <f aca="false">F20*F$5/60</f>
        <v>42</v>
      </c>
      <c r="G39" s="69" t="n">
        <f aca="false">G20*G$5/60</f>
        <v>9.9</v>
      </c>
      <c r="H39" s="69" t="n">
        <f aca="false">H20*H$5/60</f>
        <v>0</v>
      </c>
      <c r="I39" s="69" t="n">
        <f aca="false">I20*I$5/60</f>
        <v>0</v>
      </c>
      <c r="J39" s="69" t="n">
        <f aca="false">J20*J$5/60</f>
        <v>63</v>
      </c>
      <c r="K39" s="69" t="n">
        <f aca="false">K20*K$5/60</f>
        <v>6.075</v>
      </c>
      <c r="L39" s="70" t="n">
        <f aca="false">SUM(C39:K39)</f>
        <v>260.141666666667</v>
      </c>
    </row>
    <row r="41" customFormat="false" ht="15" hidden="false" customHeight="false" outlineLevel="0" collapsed="false">
      <c r="A41" s="27" t="s">
        <v>651</v>
      </c>
    </row>
    <row r="42" customFormat="false" ht="15" hidden="false" customHeight="false" outlineLevel="0" collapsed="false">
      <c r="A42" s="27" t="s">
        <v>652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12" min="3" style="0" width="12.5"/>
    <col collapsed="false" customWidth="true" hidden="false" outlineLevel="0" max="13" min="13" style="0" width="13"/>
    <col collapsed="false" customWidth="true" hidden="false" outlineLevel="0" max="14" min="14" style="0" width="22"/>
  </cols>
  <sheetData>
    <row r="1" customFormat="false" ht="24" hidden="false" customHeight="true" outlineLevel="0" collapsed="false">
      <c r="A1" s="34" t="s">
        <v>653</v>
      </c>
    </row>
    <row r="2" customFormat="false" ht="15" hidden="false" customHeight="false" outlineLevel="0" collapsed="false">
      <c r="A2" s="35" t="s">
        <v>654</v>
      </c>
    </row>
    <row r="3" customFormat="false" ht="19.5" hidden="false" customHeight="true" outlineLevel="0" collapsed="false">
      <c r="A3" s="3" t="s">
        <v>655</v>
      </c>
      <c r="B3" s="4"/>
      <c r="C3" s="4"/>
      <c r="D3" s="4"/>
      <c r="E3" s="4"/>
      <c r="F3" s="4"/>
      <c r="G3" s="4"/>
      <c r="H3" s="4"/>
      <c r="I3" s="4"/>
      <c r="J3" s="4"/>
      <c r="K3" s="4"/>
      <c r="L3" s="4"/>
      <c r="M3" s="4"/>
      <c r="N3" s="4"/>
    </row>
    <row r="4" customFormat="false" ht="25.5" hidden="false" customHeight="true" outlineLevel="0" collapsed="false">
      <c r="A4" s="63"/>
      <c r="B4" s="63"/>
      <c r="C4" s="71" t="str">
        <f aca="false">RawMaterials!$C$2</f>
        <v>CRNGO steel coil</v>
      </c>
      <c r="D4" s="71" t="str">
        <f aca="false">RawMaterials!$C$3</f>
        <v>CRCA steel sheet</v>
      </c>
      <c r="E4" s="71" t="str">
        <f aca="false">RawMaterials!$C$4</f>
        <v>Aluminium ADC12</v>
      </c>
      <c r="F4" s="71" t="str">
        <f aca="false">RawMaterials!$C$5</f>
        <v>Copper winding wire</v>
      </c>
      <c r="G4" s="71" t="str">
        <f aca="false">RawMaterials!$C$6</f>
        <v>PP granules</v>
      </c>
      <c r="H4" s="71" t="str">
        <f aca="false">RawMaterials!$C$7</f>
        <v>ABS granules</v>
      </c>
      <c r="I4" s="71" t="str">
        <f aca="false">RawMaterials!$C$8</f>
        <v>SS304 sheet</v>
      </c>
      <c r="J4" s="71" t="str">
        <f aca="false">RawMaterials!$C$9</f>
        <v>Nichrome wire</v>
      </c>
      <c r="K4" s="71" t="str">
        <f aca="false">RawMaterials!$C$10</f>
        <v>Powder coating</v>
      </c>
      <c r="L4" s="71" t="str">
        <f aca="false">RawMaterials!$C$11</f>
        <v>Corrugated cartons</v>
      </c>
    </row>
    <row r="5" customFormat="false" ht="30" hidden="false" customHeight="true" outlineLevel="0" collapsed="false">
      <c r="A5" s="8" t="s">
        <v>172</v>
      </c>
      <c r="B5" s="8" t="s">
        <v>118</v>
      </c>
      <c r="C5" s="8" t="s">
        <v>277</v>
      </c>
      <c r="D5" s="8" t="s">
        <v>286</v>
      </c>
      <c r="E5" s="8" t="s">
        <v>292</v>
      </c>
      <c r="F5" s="8" t="s">
        <v>300</v>
      </c>
      <c r="G5" s="8" t="s">
        <v>306</v>
      </c>
      <c r="H5" s="8" t="s">
        <v>313</v>
      </c>
      <c r="I5" s="8" t="s">
        <v>319</v>
      </c>
      <c r="J5" s="8" t="s">
        <v>326</v>
      </c>
      <c r="K5" s="8" t="s">
        <v>333</v>
      </c>
      <c r="L5" s="8" t="s">
        <v>340</v>
      </c>
      <c r="M5" s="8" t="s">
        <v>656</v>
      </c>
      <c r="N5" s="8" t="s">
        <v>657</v>
      </c>
    </row>
    <row r="6" customFormat="false" ht="15" hidden="false" customHeight="false" outlineLevel="0" collapsed="false">
      <c r="A6" s="6" t="s">
        <v>191</v>
      </c>
      <c r="B6" s="43" t="str">
        <f aca="false">INDEX(Products!$B$2:$B$16,MATCH($A6,Products!$A$2:$A$16,0))</f>
        <v>Ceiling Fan 1200 mm - Induction</v>
      </c>
      <c r="C6" s="72" t="n">
        <f aca="false">SUMIFS(BOM!$G$2:$G$400,BOM!$B$2:$B$400,$A6,BOM!$E$2:$E$400,C$5)</f>
        <v>0.85</v>
      </c>
      <c r="D6" s="72" t="n">
        <f aca="false">SUMIFS(BOM!$G$2:$G$400,BOM!$B$2:$B$400,$A6,BOM!$E$2:$E$400,D$5)</f>
        <v>2.1</v>
      </c>
      <c r="E6" s="72" t="n">
        <f aca="false">SUMIFS(BOM!$G$2:$G$400,BOM!$B$2:$B$400,$A6,BOM!$E$2:$E$400,E$5)</f>
        <v>0.5</v>
      </c>
      <c r="F6" s="72" t="n">
        <f aca="false">SUMIFS(BOM!$G$2:$G$400,BOM!$B$2:$B$400,$A6,BOM!$E$2:$E$400,F$5)</f>
        <v>0.42</v>
      </c>
      <c r="G6" s="72" t="n">
        <f aca="false">SUMIFS(BOM!$G$2:$G$400,BOM!$B$2:$B$400,$A6,BOM!$E$2:$E$400,G$5)</f>
        <v>0</v>
      </c>
      <c r="H6" s="72" t="n">
        <f aca="false">SUMIFS(BOM!$G$2:$G$400,BOM!$B$2:$B$400,$A6,BOM!$E$2:$E$400,H$5)</f>
        <v>0</v>
      </c>
      <c r="I6" s="72" t="n">
        <f aca="false">SUMIFS(BOM!$G$2:$G$400,BOM!$B$2:$B$400,$A6,BOM!$E$2:$E$400,I$5)</f>
        <v>0</v>
      </c>
      <c r="J6" s="72" t="n">
        <f aca="false">SUMIFS(BOM!$G$2:$G$400,BOM!$B$2:$B$400,$A6,BOM!$E$2:$E$400,J$5)</f>
        <v>0</v>
      </c>
      <c r="K6" s="72" t="n">
        <f aca="false">SUMIFS(BOM!$G$2:$G$400,BOM!$B$2:$B$400,$A6,BOM!$E$2:$E$400,K$5)</f>
        <v>0.08</v>
      </c>
      <c r="L6" s="72" t="n">
        <f aca="false">SUMIFS(BOM!$G$2:$G$400,BOM!$B$2:$B$400,$A6,BOM!$E$2:$E$400,L$5)</f>
        <v>0.75</v>
      </c>
      <c r="M6" s="73" t="n">
        <f aca="false">SUM(C6:L6)</f>
        <v>4.7</v>
      </c>
      <c r="N6" s="53" t="n">
        <f aca="false">COUNTIF(C6:L6,"&gt;0")</f>
        <v>6</v>
      </c>
    </row>
    <row r="7" customFormat="false" ht="15" hidden="false" customHeight="false" outlineLevel="0" collapsed="false">
      <c r="A7" s="6" t="s">
        <v>197</v>
      </c>
      <c r="B7" s="43" t="str">
        <f aca="false">INDEX(Products!$B$2:$B$16,MATCH($A7,Products!$A$2:$A$16,0))</f>
        <v>Ceiling Fan 1200 mm - BLDC</v>
      </c>
      <c r="C7" s="72" t="n">
        <f aca="false">SUMIFS(BOM!$G$2:$G$400,BOM!$B$2:$B$400,$A7,BOM!$E$2:$E$400,C$5)</f>
        <v>0.62</v>
      </c>
      <c r="D7" s="72" t="n">
        <f aca="false">SUMIFS(BOM!$G$2:$G$400,BOM!$B$2:$B$400,$A7,BOM!$E$2:$E$400,D$5)</f>
        <v>1.85</v>
      </c>
      <c r="E7" s="72" t="n">
        <f aca="false">SUMIFS(BOM!$G$2:$G$400,BOM!$B$2:$B$400,$A7,BOM!$E$2:$E$400,E$5)</f>
        <v>0.45</v>
      </c>
      <c r="F7" s="72" t="n">
        <f aca="false">SUMIFS(BOM!$G$2:$G$400,BOM!$B$2:$B$400,$A7,BOM!$E$2:$E$400,F$5)</f>
        <v>0.33</v>
      </c>
      <c r="G7" s="72" t="n">
        <f aca="false">SUMIFS(BOM!$G$2:$G$400,BOM!$B$2:$B$400,$A7,BOM!$E$2:$E$400,G$5)</f>
        <v>0</v>
      </c>
      <c r="H7" s="72" t="n">
        <f aca="false">SUMIFS(BOM!$G$2:$G$400,BOM!$B$2:$B$400,$A7,BOM!$E$2:$E$400,H$5)</f>
        <v>0</v>
      </c>
      <c r="I7" s="72" t="n">
        <f aca="false">SUMIFS(BOM!$G$2:$G$400,BOM!$B$2:$B$400,$A7,BOM!$E$2:$E$400,I$5)</f>
        <v>0</v>
      </c>
      <c r="J7" s="72" t="n">
        <f aca="false">SUMIFS(BOM!$G$2:$G$400,BOM!$B$2:$B$400,$A7,BOM!$E$2:$E$400,J$5)</f>
        <v>0</v>
      </c>
      <c r="K7" s="72" t="n">
        <f aca="false">SUMIFS(BOM!$G$2:$G$400,BOM!$B$2:$B$400,$A7,BOM!$E$2:$E$400,K$5)</f>
        <v>0.07</v>
      </c>
      <c r="L7" s="72" t="n">
        <f aca="false">SUMIFS(BOM!$G$2:$G$400,BOM!$B$2:$B$400,$A7,BOM!$E$2:$E$400,L$5)</f>
        <v>0.72</v>
      </c>
      <c r="M7" s="73" t="n">
        <f aca="false">SUM(C7:L7)</f>
        <v>4.04</v>
      </c>
      <c r="N7" s="53" t="n">
        <f aca="false">COUNTIF(C7:L7,"&gt;0")</f>
        <v>6</v>
      </c>
    </row>
    <row r="8" customFormat="false" ht="15" hidden="false" customHeight="false" outlineLevel="0" collapsed="false">
      <c r="A8" s="6" t="s">
        <v>201</v>
      </c>
      <c r="B8" s="43" t="str">
        <f aca="false">INDEX(Products!$B$2:$B$16,MATCH($A8,Products!$A$2:$A$16,0))</f>
        <v>Pedestal Fan 400 mm</v>
      </c>
      <c r="C8" s="72" t="n">
        <f aca="false">SUMIFS(BOM!$G$2:$G$400,BOM!$B$2:$B$400,$A8,BOM!$E$2:$E$400,C$5)</f>
        <v>0.38</v>
      </c>
      <c r="D8" s="72" t="n">
        <f aca="false">SUMIFS(BOM!$G$2:$G$400,BOM!$B$2:$B$400,$A8,BOM!$E$2:$E$400,D$5)</f>
        <v>1.55</v>
      </c>
      <c r="E8" s="72" t="n">
        <f aca="false">SUMIFS(BOM!$G$2:$G$400,BOM!$B$2:$B$400,$A8,BOM!$E$2:$E$400,E$5)</f>
        <v>0.32</v>
      </c>
      <c r="F8" s="72" t="n">
        <f aca="false">SUMIFS(BOM!$G$2:$G$400,BOM!$B$2:$B$400,$A8,BOM!$E$2:$E$400,F$5)</f>
        <v>0.24</v>
      </c>
      <c r="G8" s="72" t="n">
        <f aca="false">SUMIFS(BOM!$G$2:$G$400,BOM!$B$2:$B$400,$A8,BOM!$E$2:$E$400,G$5)</f>
        <v>0.3</v>
      </c>
      <c r="H8" s="72" t="n">
        <f aca="false">SUMIFS(BOM!$G$2:$G$400,BOM!$B$2:$B$400,$A8,BOM!$E$2:$E$400,H$5)</f>
        <v>0.4</v>
      </c>
      <c r="I8" s="72" t="n">
        <f aca="false">SUMIFS(BOM!$G$2:$G$400,BOM!$B$2:$B$400,$A8,BOM!$E$2:$E$400,I$5)</f>
        <v>0</v>
      </c>
      <c r="J8" s="72" t="n">
        <f aca="false">SUMIFS(BOM!$G$2:$G$400,BOM!$B$2:$B$400,$A8,BOM!$E$2:$E$400,J$5)</f>
        <v>0</v>
      </c>
      <c r="K8" s="72" t="n">
        <f aca="false">SUMIFS(BOM!$G$2:$G$400,BOM!$B$2:$B$400,$A8,BOM!$E$2:$E$400,K$5)</f>
        <v>0.07</v>
      </c>
      <c r="L8" s="72" t="n">
        <f aca="false">SUMIFS(BOM!$G$2:$G$400,BOM!$B$2:$B$400,$A8,BOM!$E$2:$E$400,L$5)</f>
        <v>1.2</v>
      </c>
      <c r="M8" s="73" t="n">
        <f aca="false">SUM(C8:L8)</f>
        <v>4.46</v>
      </c>
      <c r="N8" s="53" t="n">
        <f aca="false">COUNTIF(C8:L8,"&gt;0")</f>
        <v>8</v>
      </c>
    </row>
    <row r="9" customFormat="false" ht="15" hidden="false" customHeight="false" outlineLevel="0" collapsed="false">
      <c r="A9" s="6" t="s">
        <v>205</v>
      </c>
      <c r="B9" s="43" t="str">
        <f aca="false">INDEX(Products!$B$2:$B$16,MATCH($A9,Products!$A$2:$A$16,0))</f>
        <v>Table Fan 400 mm</v>
      </c>
      <c r="C9" s="72" t="n">
        <f aca="false">SUMIFS(BOM!$G$2:$G$400,BOM!$B$2:$B$400,$A9,BOM!$E$2:$E$400,C$5)</f>
        <v>0.3</v>
      </c>
      <c r="D9" s="72" t="n">
        <f aca="false">SUMIFS(BOM!$G$2:$G$400,BOM!$B$2:$B$400,$A9,BOM!$E$2:$E$400,D$5)</f>
        <v>0.75</v>
      </c>
      <c r="E9" s="72" t="n">
        <f aca="false">SUMIFS(BOM!$G$2:$G$400,BOM!$B$2:$B$400,$A9,BOM!$E$2:$E$400,E$5)</f>
        <v>0.2</v>
      </c>
      <c r="F9" s="72" t="n">
        <f aca="false">SUMIFS(BOM!$G$2:$G$400,BOM!$B$2:$B$400,$A9,BOM!$E$2:$E$400,F$5)</f>
        <v>0.19</v>
      </c>
      <c r="G9" s="72" t="n">
        <f aca="false">SUMIFS(BOM!$G$2:$G$400,BOM!$B$2:$B$400,$A9,BOM!$E$2:$E$400,G$5)</f>
        <v>0.25</v>
      </c>
      <c r="H9" s="72" t="n">
        <f aca="false">SUMIFS(BOM!$G$2:$G$400,BOM!$B$2:$B$400,$A9,BOM!$E$2:$E$400,H$5)</f>
        <v>0.42</v>
      </c>
      <c r="I9" s="72" t="n">
        <f aca="false">SUMIFS(BOM!$G$2:$G$400,BOM!$B$2:$B$400,$A9,BOM!$E$2:$E$400,I$5)</f>
        <v>0</v>
      </c>
      <c r="J9" s="72" t="n">
        <f aca="false">SUMIFS(BOM!$G$2:$G$400,BOM!$B$2:$B$400,$A9,BOM!$E$2:$E$400,J$5)</f>
        <v>0</v>
      </c>
      <c r="K9" s="72" t="n">
        <f aca="false">SUMIFS(BOM!$G$2:$G$400,BOM!$B$2:$B$400,$A9,BOM!$E$2:$E$400,K$5)</f>
        <v>0.03</v>
      </c>
      <c r="L9" s="72" t="n">
        <f aca="false">SUMIFS(BOM!$G$2:$G$400,BOM!$B$2:$B$400,$A9,BOM!$E$2:$E$400,L$5)</f>
        <v>0.6</v>
      </c>
      <c r="M9" s="73" t="n">
        <f aca="false">SUM(C9:L9)</f>
        <v>2.74</v>
      </c>
      <c r="N9" s="53" t="n">
        <f aca="false">COUNTIF(C9:L9,"&gt;0")</f>
        <v>8</v>
      </c>
    </row>
    <row r="10" customFormat="false" ht="15" hidden="false" customHeight="false" outlineLevel="0" collapsed="false">
      <c r="A10" s="6" t="s">
        <v>208</v>
      </c>
      <c r="B10" s="43" t="str">
        <f aca="false">INDEX(Products!$B$2:$B$16,MATCH($A10,Products!$A$2:$A$16,0))</f>
        <v>Exhaust Fan 230 mm</v>
      </c>
      <c r="C10" s="72" t="n">
        <f aca="false">SUMIFS(BOM!$G$2:$G$400,BOM!$B$2:$B$400,$A10,BOM!$E$2:$E$400,C$5)</f>
        <v>0.16</v>
      </c>
      <c r="D10" s="72" t="n">
        <f aca="false">SUMIFS(BOM!$G$2:$G$400,BOM!$B$2:$B$400,$A10,BOM!$E$2:$E$400,D$5)</f>
        <v>0.45</v>
      </c>
      <c r="E10" s="72" t="n">
        <f aca="false">SUMIFS(BOM!$G$2:$G$400,BOM!$B$2:$B$400,$A10,BOM!$E$2:$E$400,E$5)</f>
        <v>0.08</v>
      </c>
      <c r="F10" s="72" t="n">
        <f aca="false">SUMIFS(BOM!$G$2:$G$400,BOM!$B$2:$B$400,$A10,BOM!$E$2:$E$400,F$5)</f>
        <v>0.09</v>
      </c>
      <c r="G10" s="72" t="n">
        <f aca="false">SUMIFS(BOM!$G$2:$G$400,BOM!$B$2:$B$400,$A10,BOM!$E$2:$E$400,G$5)</f>
        <v>0.2</v>
      </c>
      <c r="H10" s="72" t="n">
        <f aca="false">SUMIFS(BOM!$G$2:$G$400,BOM!$B$2:$B$400,$A10,BOM!$E$2:$E$400,H$5)</f>
        <v>0.38</v>
      </c>
      <c r="I10" s="72" t="n">
        <f aca="false">SUMIFS(BOM!$G$2:$G$400,BOM!$B$2:$B$400,$A10,BOM!$E$2:$E$400,I$5)</f>
        <v>0</v>
      </c>
      <c r="J10" s="72" t="n">
        <f aca="false">SUMIFS(BOM!$G$2:$G$400,BOM!$B$2:$B$400,$A10,BOM!$E$2:$E$400,J$5)</f>
        <v>0</v>
      </c>
      <c r="K10" s="72" t="n">
        <f aca="false">SUMIFS(BOM!$G$2:$G$400,BOM!$B$2:$B$400,$A10,BOM!$E$2:$E$400,K$5)</f>
        <v>0.02</v>
      </c>
      <c r="L10" s="72" t="n">
        <f aca="false">SUMIFS(BOM!$G$2:$G$400,BOM!$B$2:$B$400,$A10,BOM!$E$2:$E$400,L$5)</f>
        <v>0.4</v>
      </c>
      <c r="M10" s="73" t="n">
        <f aca="false">SUM(C10:L10)</f>
        <v>1.78</v>
      </c>
      <c r="N10" s="53" t="n">
        <f aca="false">COUNTIF(C10:L10,"&gt;0")</f>
        <v>8</v>
      </c>
    </row>
    <row r="11" customFormat="false" ht="15" hidden="false" customHeight="false" outlineLevel="0" collapsed="false">
      <c r="A11" s="6" t="s">
        <v>212</v>
      </c>
      <c r="B11" s="43" t="str">
        <f aca="false">INDEX(Products!$B$2:$B$16,MATCH($A11,Products!$A$2:$A$16,0))</f>
        <v>Personal Air Cooler 30 L</v>
      </c>
      <c r="C11" s="72" t="n">
        <f aca="false">SUMIFS(BOM!$G$2:$G$400,BOM!$B$2:$B$400,$A11,BOM!$E$2:$E$400,C$5)</f>
        <v>0.22</v>
      </c>
      <c r="D11" s="72" t="n">
        <f aca="false">SUMIFS(BOM!$G$2:$G$400,BOM!$B$2:$B$400,$A11,BOM!$E$2:$E$400,D$5)</f>
        <v>0.35</v>
      </c>
      <c r="E11" s="72" t="n">
        <f aca="false">SUMIFS(BOM!$G$2:$G$400,BOM!$B$2:$B$400,$A11,BOM!$E$2:$E$400,E$5)</f>
        <v>0.1</v>
      </c>
      <c r="F11" s="72" t="n">
        <f aca="false">SUMIFS(BOM!$G$2:$G$400,BOM!$B$2:$B$400,$A11,BOM!$E$2:$E$400,F$5)</f>
        <v>0.12</v>
      </c>
      <c r="G11" s="72" t="n">
        <f aca="false">SUMIFS(BOM!$G$2:$G$400,BOM!$B$2:$B$400,$A11,BOM!$E$2:$E$400,G$5)</f>
        <v>4.6</v>
      </c>
      <c r="H11" s="72" t="n">
        <f aca="false">SUMIFS(BOM!$G$2:$G$400,BOM!$B$2:$B$400,$A11,BOM!$E$2:$E$400,H$5)</f>
        <v>0.35</v>
      </c>
      <c r="I11" s="72" t="n">
        <f aca="false">SUMIFS(BOM!$G$2:$G$400,BOM!$B$2:$B$400,$A11,BOM!$E$2:$E$400,I$5)</f>
        <v>0</v>
      </c>
      <c r="J11" s="72" t="n">
        <f aca="false">SUMIFS(BOM!$G$2:$G$400,BOM!$B$2:$B$400,$A11,BOM!$E$2:$E$400,J$5)</f>
        <v>0</v>
      </c>
      <c r="K11" s="72" t="n">
        <f aca="false">SUMIFS(BOM!$G$2:$G$400,BOM!$B$2:$B$400,$A11,BOM!$E$2:$E$400,K$5)</f>
        <v>0</v>
      </c>
      <c r="L11" s="72" t="n">
        <f aca="false">SUMIFS(BOM!$G$2:$G$400,BOM!$B$2:$B$400,$A11,BOM!$E$2:$E$400,L$5)</f>
        <v>1.6</v>
      </c>
      <c r="M11" s="73" t="n">
        <f aca="false">SUM(C11:L11)</f>
        <v>7.34</v>
      </c>
      <c r="N11" s="53" t="n">
        <f aca="false">COUNTIF(C11:L11,"&gt;0")</f>
        <v>7</v>
      </c>
    </row>
    <row r="12" customFormat="false" ht="15" hidden="false" customHeight="false" outlineLevel="0" collapsed="false">
      <c r="A12" s="6" t="s">
        <v>216</v>
      </c>
      <c r="B12" s="43" t="str">
        <f aca="false">INDEX(Products!$B$2:$B$16,MATCH($A12,Products!$A$2:$A$16,0))</f>
        <v>Mixer Grinder 500 W</v>
      </c>
      <c r="C12" s="72" t="n">
        <f aca="false">SUMIFS(BOM!$G$2:$G$400,BOM!$B$2:$B$400,$A12,BOM!$E$2:$E$400,C$5)</f>
        <v>0.45</v>
      </c>
      <c r="D12" s="72" t="n">
        <f aca="false">SUMIFS(BOM!$G$2:$G$400,BOM!$B$2:$B$400,$A12,BOM!$E$2:$E$400,D$5)</f>
        <v>0.12</v>
      </c>
      <c r="E12" s="72" t="n">
        <f aca="false">SUMIFS(BOM!$G$2:$G$400,BOM!$B$2:$B$400,$A12,BOM!$E$2:$E$400,E$5)</f>
        <v>0.35</v>
      </c>
      <c r="F12" s="72" t="n">
        <f aca="false">SUMIFS(BOM!$G$2:$G$400,BOM!$B$2:$B$400,$A12,BOM!$E$2:$E$400,F$5)</f>
        <v>0.22</v>
      </c>
      <c r="G12" s="72" t="n">
        <f aca="false">SUMIFS(BOM!$G$2:$G$400,BOM!$B$2:$B$400,$A12,BOM!$E$2:$E$400,G$5)</f>
        <v>0.3</v>
      </c>
      <c r="H12" s="72" t="n">
        <f aca="false">SUMIFS(BOM!$G$2:$G$400,BOM!$B$2:$B$400,$A12,BOM!$E$2:$E$400,H$5)</f>
        <v>0.55</v>
      </c>
      <c r="I12" s="72" t="n">
        <f aca="false">SUMIFS(BOM!$G$2:$G$400,BOM!$B$2:$B$400,$A12,BOM!$E$2:$E$400,I$5)</f>
        <v>0.6</v>
      </c>
      <c r="J12" s="72" t="n">
        <f aca="false">SUMIFS(BOM!$G$2:$G$400,BOM!$B$2:$B$400,$A12,BOM!$E$2:$E$400,J$5)</f>
        <v>0</v>
      </c>
      <c r="K12" s="72" t="n">
        <f aca="false">SUMIFS(BOM!$G$2:$G$400,BOM!$B$2:$B$400,$A12,BOM!$E$2:$E$400,K$5)</f>
        <v>0</v>
      </c>
      <c r="L12" s="72" t="n">
        <f aca="false">SUMIFS(BOM!$G$2:$G$400,BOM!$B$2:$B$400,$A12,BOM!$E$2:$E$400,L$5)</f>
        <v>0.55</v>
      </c>
      <c r="M12" s="73" t="n">
        <f aca="false">SUM(C12:L12)</f>
        <v>3.14</v>
      </c>
      <c r="N12" s="53" t="n">
        <f aca="false">COUNTIF(C12:L12,"&gt;0")</f>
        <v>8</v>
      </c>
    </row>
    <row r="13" customFormat="false" ht="15" hidden="false" customHeight="false" outlineLevel="0" collapsed="false">
      <c r="A13" s="6" t="s">
        <v>222</v>
      </c>
      <c r="B13" s="43" t="str">
        <f aca="false">INDEX(Products!$B$2:$B$16,MATCH($A13,Products!$A$2:$A$16,0))</f>
        <v>Mixer Grinder 750 W</v>
      </c>
      <c r="C13" s="72" t="n">
        <f aca="false">SUMIFS(BOM!$G$2:$G$400,BOM!$B$2:$B$400,$A13,BOM!$E$2:$E$400,C$5)</f>
        <v>0.62</v>
      </c>
      <c r="D13" s="72" t="n">
        <f aca="false">SUMIFS(BOM!$G$2:$G$400,BOM!$B$2:$B$400,$A13,BOM!$E$2:$E$400,D$5)</f>
        <v>0.15</v>
      </c>
      <c r="E13" s="72" t="n">
        <f aca="false">SUMIFS(BOM!$G$2:$G$400,BOM!$B$2:$B$400,$A13,BOM!$E$2:$E$400,E$5)</f>
        <v>0.48</v>
      </c>
      <c r="F13" s="72" t="n">
        <f aca="false">SUMIFS(BOM!$G$2:$G$400,BOM!$B$2:$B$400,$A13,BOM!$E$2:$E$400,F$5)</f>
        <v>0.3</v>
      </c>
      <c r="G13" s="72" t="n">
        <f aca="false">SUMIFS(BOM!$G$2:$G$400,BOM!$B$2:$B$400,$A13,BOM!$E$2:$E$400,G$5)</f>
        <v>0.34</v>
      </c>
      <c r="H13" s="72" t="n">
        <f aca="false">SUMIFS(BOM!$G$2:$G$400,BOM!$B$2:$B$400,$A13,BOM!$E$2:$E$400,H$5)</f>
        <v>0.62</v>
      </c>
      <c r="I13" s="72" t="n">
        <f aca="false">SUMIFS(BOM!$G$2:$G$400,BOM!$B$2:$B$400,$A13,BOM!$E$2:$E$400,I$5)</f>
        <v>0.78</v>
      </c>
      <c r="J13" s="72" t="n">
        <f aca="false">SUMIFS(BOM!$G$2:$G$400,BOM!$B$2:$B$400,$A13,BOM!$E$2:$E$400,J$5)</f>
        <v>0</v>
      </c>
      <c r="K13" s="72" t="n">
        <f aca="false">SUMIFS(BOM!$G$2:$G$400,BOM!$B$2:$B$400,$A13,BOM!$E$2:$E$400,K$5)</f>
        <v>0</v>
      </c>
      <c r="L13" s="72" t="n">
        <f aca="false">SUMIFS(BOM!$G$2:$G$400,BOM!$B$2:$B$400,$A13,BOM!$E$2:$E$400,L$5)</f>
        <v>0.62</v>
      </c>
      <c r="M13" s="73" t="n">
        <f aca="false">SUM(C13:L13)</f>
        <v>3.91</v>
      </c>
      <c r="N13" s="53" t="n">
        <f aca="false">COUNTIF(C13:L13,"&gt;0")</f>
        <v>8</v>
      </c>
    </row>
    <row r="14" customFormat="false" ht="15" hidden="false" customHeight="false" outlineLevel="0" collapsed="false">
      <c r="A14" s="6" t="s">
        <v>225</v>
      </c>
      <c r="B14" s="43" t="str">
        <f aca="false">INDEX(Products!$B$2:$B$16,MATCH($A14,Products!$A$2:$A$16,0))</f>
        <v>Electric Kettle 1.5 L</v>
      </c>
      <c r="C14" s="72" t="n">
        <f aca="false">SUMIFS(BOM!$G$2:$G$400,BOM!$B$2:$B$400,$A14,BOM!$E$2:$E$400,C$5)</f>
        <v>0</v>
      </c>
      <c r="D14" s="72" t="n">
        <f aca="false">SUMIFS(BOM!$G$2:$G$400,BOM!$B$2:$B$400,$A14,BOM!$E$2:$E$400,D$5)</f>
        <v>0</v>
      </c>
      <c r="E14" s="72" t="n">
        <f aca="false">SUMIFS(BOM!$G$2:$G$400,BOM!$B$2:$B$400,$A14,BOM!$E$2:$E$400,E$5)</f>
        <v>0</v>
      </c>
      <c r="F14" s="72" t="n">
        <f aca="false">SUMIFS(BOM!$G$2:$G$400,BOM!$B$2:$B$400,$A14,BOM!$E$2:$E$400,F$5)</f>
        <v>0</v>
      </c>
      <c r="G14" s="72" t="n">
        <f aca="false">SUMIFS(BOM!$G$2:$G$400,BOM!$B$2:$B$400,$A14,BOM!$E$2:$E$400,G$5)</f>
        <v>0.14</v>
      </c>
      <c r="H14" s="72" t="n">
        <f aca="false">SUMIFS(BOM!$G$2:$G$400,BOM!$B$2:$B$400,$A14,BOM!$E$2:$E$400,H$5)</f>
        <v>0.2</v>
      </c>
      <c r="I14" s="72" t="n">
        <f aca="false">SUMIFS(BOM!$G$2:$G$400,BOM!$B$2:$B$400,$A14,BOM!$E$2:$E$400,I$5)</f>
        <v>0.42</v>
      </c>
      <c r="J14" s="72" t="n">
        <f aca="false">SUMIFS(BOM!$G$2:$G$400,BOM!$B$2:$B$400,$A14,BOM!$E$2:$E$400,J$5)</f>
        <v>0.012</v>
      </c>
      <c r="K14" s="72" t="n">
        <f aca="false">SUMIFS(BOM!$G$2:$G$400,BOM!$B$2:$B$400,$A14,BOM!$E$2:$E$400,K$5)</f>
        <v>0</v>
      </c>
      <c r="L14" s="72" t="n">
        <f aca="false">SUMIFS(BOM!$G$2:$G$400,BOM!$B$2:$B$400,$A14,BOM!$E$2:$E$400,L$5)</f>
        <v>0.33</v>
      </c>
      <c r="M14" s="73" t="n">
        <f aca="false">SUM(C14:L14)</f>
        <v>1.102</v>
      </c>
      <c r="N14" s="53" t="n">
        <f aca="false">COUNTIF(C14:L14,"&gt;0")</f>
        <v>5</v>
      </c>
    </row>
    <row r="15" customFormat="false" ht="15" hidden="false" customHeight="false" outlineLevel="0" collapsed="false">
      <c r="A15" s="6" t="s">
        <v>229</v>
      </c>
      <c r="B15" s="43" t="str">
        <f aca="false">INDEX(Products!$B$2:$B$16,MATCH($A15,Products!$A$2:$A$16,0))</f>
        <v>Induction Cooktop 2000 W</v>
      </c>
      <c r="C15" s="72" t="n">
        <f aca="false">SUMIFS(BOM!$G$2:$G$400,BOM!$B$2:$B$400,$A15,BOM!$E$2:$E$400,C$5)</f>
        <v>0</v>
      </c>
      <c r="D15" s="72" t="n">
        <f aca="false">SUMIFS(BOM!$G$2:$G$400,BOM!$B$2:$B$400,$A15,BOM!$E$2:$E$400,D$5)</f>
        <v>0.8</v>
      </c>
      <c r="E15" s="72" t="n">
        <f aca="false">SUMIFS(BOM!$G$2:$G$400,BOM!$B$2:$B$400,$A15,BOM!$E$2:$E$400,E$5)</f>
        <v>0.18</v>
      </c>
      <c r="F15" s="72" t="n">
        <f aca="false">SUMIFS(BOM!$G$2:$G$400,BOM!$B$2:$B$400,$A15,BOM!$E$2:$E$400,F$5)</f>
        <v>0.12</v>
      </c>
      <c r="G15" s="72" t="n">
        <f aca="false">SUMIFS(BOM!$G$2:$G$400,BOM!$B$2:$B$400,$A15,BOM!$E$2:$E$400,G$5)</f>
        <v>0</v>
      </c>
      <c r="H15" s="72" t="n">
        <f aca="false">SUMIFS(BOM!$G$2:$G$400,BOM!$B$2:$B$400,$A15,BOM!$E$2:$E$400,H$5)</f>
        <v>0.38</v>
      </c>
      <c r="I15" s="72" t="n">
        <f aca="false">SUMIFS(BOM!$G$2:$G$400,BOM!$B$2:$B$400,$A15,BOM!$E$2:$E$400,I$5)</f>
        <v>0</v>
      </c>
      <c r="J15" s="72" t="n">
        <f aca="false">SUMIFS(BOM!$G$2:$G$400,BOM!$B$2:$B$400,$A15,BOM!$E$2:$E$400,J$5)</f>
        <v>0</v>
      </c>
      <c r="K15" s="72" t="n">
        <f aca="false">SUMIFS(BOM!$G$2:$G$400,BOM!$B$2:$B$400,$A15,BOM!$E$2:$E$400,K$5)</f>
        <v>0.02</v>
      </c>
      <c r="L15" s="72" t="n">
        <f aca="false">SUMIFS(BOM!$G$2:$G$400,BOM!$B$2:$B$400,$A15,BOM!$E$2:$E$400,L$5)</f>
        <v>0.45</v>
      </c>
      <c r="M15" s="73" t="n">
        <f aca="false">SUM(C15:L15)</f>
        <v>1.95</v>
      </c>
      <c r="N15" s="53" t="n">
        <f aca="false">COUNTIF(C15:L15,"&gt;0")</f>
        <v>6</v>
      </c>
    </row>
    <row r="16" customFormat="false" ht="15" hidden="false" customHeight="false" outlineLevel="0" collapsed="false">
      <c r="A16" s="6" t="s">
        <v>233</v>
      </c>
      <c r="B16" s="43" t="str">
        <f aca="false">INDEX(Products!$B$2:$B$16,MATCH($A16,Products!$A$2:$A$16,0))</f>
        <v>Sandwich Maker 750 W</v>
      </c>
      <c r="C16" s="72" t="n">
        <f aca="false">SUMIFS(BOM!$G$2:$G$400,BOM!$B$2:$B$400,$A16,BOM!$E$2:$E$400,C$5)</f>
        <v>0</v>
      </c>
      <c r="D16" s="72" t="n">
        <f aca="false">SUMIFS(BOM!$G$2:$G$400,BOM!$B$2:$B$400,$A16,BOM!$E$2:$E$400,D$5)</f>
        <v>0.35</v>
      </c>
      <c r="E16" s="72" t="n">
        <f aca="false">SUMIFS(BOM!$G$2:$G$400,BOM!$B$2:$B$400,$A16,BOM!$E$2:$E$400,E$5)</f>
        <v>0.55</v>
      </c>
      <c r="F16" s="72" t="n">
        <f aca="false">SUMIFS(BOM!$G$2:$G$400,BOM!$B$2:$B$400,$A16,BOM!$E$2:$E$400,F$5)</f>
        <v>0</v>
      </c>
      <c r="G16" s="72" t="n">
        <f aca="false">SUMIFS(BOM!$G$2:$G$400,BOM!$B$2:$B$400,$A16,BOM!$E$2:$E$400,G$5)</f>
        <v>0</v>
      </c>
      <c r="H16" s="72" t="n">
        <f aca="false">SUMIFS(BOM!$G$2:$G$400,BOM!$B$2:$B$400,$A16,BOM!$E$2:$E$400,H$5)</f>
        <v>0.28</v>
      </c>
      <c r="I16" s="72" t="n">
        <f aca="false">SUMIFS(BOM!$G$2:$G$400,BOM!$B$2:$B$400,$A16,BOM!$E$2:$E$400,I$5)</f>
        <v>0</v>
      </c>
      <c r="J16" s="72" t="n">
        <f aca="false">SUMIFS(BOM!$G$2:$G$400,BOM!$B$2:$B$400,$A16,BOM!$E$2:$E$400,J$5)</f>
        <v>0.026</v>
      </c>
      <c r="K16" s="72" t="n">
        <f aca="false">SUMIFS(BOM!$G$2:$G$400,BOM!$B$2:$B$400,$A16,BOM!$E$2:$E$400,K$5)</f>
        <v>0</v>
      </c>
      <c r="L16" s="72" t="n">
        <f aca="false">SUMIFS(BOM!$G$2:$G$400,BOM!$B$2:$B$400,$A16,BOM!$E$2:$E$400,L$5)</f>
        <v>0.33</v>
      </c>
      <c r="M16" s="73" t="n">
        <f aca="false">SUM(C16:L16)</f>
        <v>1.536</v>
      </c>
      <c r="N16" s="53" t="n">
        <f aca="false">COUNTIF(C16:L16,"&gt;0")</f>
        <v>5</v>
      </c>
    </row>
    <row r="17" customFormat="false" ht="15" hidden="false" customHeight="false" outlineLevel="0" collapsed="false">
      <c r="A17" s="6" t="s">
        <v>237</v>
      </c>
      <c r="B17" s="43" t="str">
        <f aca="false">INDEX(Products!$B$2:$B$16,MATCH($A17,Products!$A$2:$A$16,0))</f>
        <v>Fan Room Heater 2000 W</v>
      </c>
      <c r="C17" s="72" t="n">
        <f aca="false">SUMIFS(BOM!$G$2:$G$400,BOM!$B$2:$B$400,$A17,BOM!$E$2:$E$400,C$5)</f>
        <v>0.09</v>
      </c>
      <c r="D17" s="72" t="n">
        <f aca="false">SUMIFS(BOM!$G$2:$G$400,BOM!$B$2:$B$400,$A17,BOM!$E$2:$E$400,D$5)</f>
        <v>1.05</v>
      </c>
      <c r="E17" s="72" t="n">
        <f aca="false">SUMIFS(BOM!$G$2:$G$400,BOM!$B$2:$B$400,$A17,BOM!$E$2:$E$400,E$5)</f>
        <v>0.12</v>
      </c>
      <c r="F17" s="72" t="n">
        <f aca="false">SUMIFS(BOM!$G$2:$G$400,BOM!$B$2:$B$400,$A17,BOM!$E$2:$E$400,F$5)</f>
        <v>0.05</v>
      </c>
      <c r="G17" s="72" t="n">
        <f aca="false">SUMIFS(BOM!$G$2:$G$400,BOM!$B$2:$B$400,$A17,BOM!$E$2:$E$400,G$5)</f>
        <v>0.2</v>
      </c>
      <c r="H17" s="72" t="n">
        <f aca="false">SUMIFS(BOM!$G$2:$G$400,BOM!$B$2:$B$400,$A17,BOM!$E$2:$E$400,H$5)</f>
        <v>0.42</v>
      </c>
      <c r="I17" s="72" t="n">
        <f aca="false">SUMIFS(BOM!$G$2:$G$400,BOM!$B$2:$B$400,$A17,BOM!$E$2:$E$400,I$5)</f>
        <v>0</v>
      </c>
      <c r="J17" s="72" t="n">
        <f aca="false">SUMIFS(BOM!$G$2:$G$400,BOM!$B$2:$B$400,$A17,BOM!$E$2:$E$400,J$5)</f>
        <v>0.05</v>
      </c>
      <c r="K17" s="72" t="n">
        <f aca="false">SUMIFS(BOM!$G$2:$G$400,BOM!$B$2:$B$400,$A17,BOM!$E$2:$E$400,K$5)</f>
        <v>0.04</v>
      </c>
      <c r="L17" s="72" t="n">
        <f aca="false">SUMIFS(BOM!$G$2:$G$400,BOM!$B$2:$B$400,$A17,BOM!$E$2:$E$400,L$5)</f>
        <v>0.55</v>
      </c>
      <c r="M17" s="73" t="n">
        <f aca="false">SUM(C17:L17)</f>
        <v>2.57</v>
      </c>
      <c r="N17" s="53" t="n">
        <f aca="false">COUNTIF(C17:L17,"&gt;0")</f>
        <v>9</v>
      </c>
    </row>
    <row r="18" customFormat="false" ht="15" hidden="false" customHeight="false" outlineLevel="0" collapsed="false">
      <c r="A18" s="6" t="s">
        <v>243</v>
      </c>
      <c r="B18" s="43" t="str">
        <f aca="false">INDEX(Products!$B$2:$B$16,MATCH($A18,Products!$A$2:$A$16,0))</f>
        <v>Immersion Water Heater Rod 1500 W</v>
      </c>
      <c r="C18" s="72" t="n">
        <f aca="false">SUMIFS(BOM!$G$2:$G$400,BOM!$B$2:$B$400,$A18,BOM!$E$2:$E$400,C$5)</f>
        <v>0</v>
      </c>
      <c r="D18" s="72" t="n">
        <f aca="false">SUMIFS(BOM!$G$2:$G$400,BOM!$B$2:$B$400,$A18,BOM!$E$2:$E$400,D$5)</f>
        <v>0</v>
      </c>
      <c r="E18" s="72" t="n">
        <f aca="false">SUMIFS(BOM!$G$2:$G$400,BOM!$B$2:$B$400,$A18,BOM!$E$2:$E$400,E$5)</f>
        <v>0</v>
      </c>
      <c r="F18" s="72" t="n">
        <f aca="false">SUMIFS(BOM!$G$2:$G$400,BOM!$B$2:$B$400,$A18,BOM!$E$2:$E$400,F$5)</f>
        <v>0</v>
      </c>
      <c r="G18" s="72" t="n">
        <f aca="false">SUMIFS(BOM!$G$2:$G$400,BOM!$B$2:$B$400,$A18,BOM!$E$2:$E$400,G$5)</f>
        <v>0.06</v>
      </c>
      <c r="H18" s="72" t="n">
        <f aca="false">SUMIFS(BOM!$G$2:$G$400,BOM!$B$2:$B$400,$A18,BOM!$E$2:$E$400,H$5)</f>
        <v>0</v>
      </c>
      <c r="I18" s="72" t="n">
        <f aca="false">SUMIFS(BOM!$G$2:$G$400,BOM!$B$2:$B$400,$A18,BOM!$E$2:$E$400,I$5)</f>
        <v>0.07</v>
      </c>
      <c r="J18" s="72" t="n">
        <f aca="false">SUMIFS(BOM!$G$2:$G$400,BOM!$B$2:$B$400,$A18,BOM!$E$2:$E$400,J$5)</f>
        <v>0.03</v>
      </c>
      <c r="K18" s="72" t="n">
        <f aca="false">SUMIFS(BOM!$G$2:$G$400,BOM!$B$2:$B$400,$A18,BOM!$E$2:$E$400,K$5)</f>
        <v>0</v>
      </c>
      <c r="L18" s="72" t="n">
        <f aca="false">SUMIFS(BOM!$G$2:$G$400,BOM!$B$2:$B$400,$A18,BOM!$E$2:$E$400,L$5)</f>
        <v>0.12</v>
      </c>
      <c r="M18" s="73" t="n">
        <f aca="false">SUM(C18:L18)</f>
        <v>0.28</v>
      </c>
      <c r="N18" s="53" t="n">
        <f aca="false">COUNTIF(C18:L18,"&gt;0")</f>
        <v>4</v>
      </c>
    </row>
    <row r="19" customFormat="false" ht="15" hidden="false" customHeight="false" outlineLevel="0" collapsed="false">
      <c r="A19" s="6" t="s">
        <v>247</v>
      </c>
      <c r="B19" s="43" t="str">
        <f aca="false">INDEX(Products!$B$2:$B$16,MATCH($A19,Products!$A$2:$A$16,0))</f>
        <v>Dry Iron 1000 W</v>
      </c>
      <c r="C19" s="72" t="n">
        <f aca="false">SUMIFS(BOM!$G$2:$G$400,BOM!$B$2:$B$400,$A19,BOM!$E$2:$E$400,C$5)</f>
        <v>0</v>
      </c>
      <c r="D19" s="72" t="n">
        <f aca="false">SUMIFS(BOM!$G$2:$G$400,BOM!$B$2:$B$400,$A19,BOM!$E$2:$E$400,D$5)</f>
        <v>0.08</v>
      </c>
      <c r="E19" s="72" t="n">
        <f aca="false">SUMIFS(BOM!$G$2:$G$400,BOM!$B$2:$B$400,$A19,BOM!$E$2:$E$400,E$5)</f>
        <v>0.35</v>
      </c>
      <c r="F19" s="72" t="n">
        <f aca="false">SUMIFS(BOM!$G$2:$G$400,BOM!$B$2:$B$400,$A19,BOM!$E$2:$E$400,F$5)</f>
        <v>0</v>
      </c>
      <c r="G19" s="72" t="n">
        <f aca="false">SUMIFS(BOM!$G$2:$G$400,BOM!$B$2:$B$400,$A19,BOM!$E$2:$E$400,G$5)</f>
        <v>0.08</v>
      </c>
      <c r="H19" s="72" t="n">
        <f aca="false">SUMIFS(BOM!$G$2:$G$400,BOM!$B$2:$B$400,$A19,BOM!$E$2:$E$400,H$5)</f>
        <v>0.22</v>
      </c>
      <c r="I19" s="72" t="n">
        <f aca="false">SUMIFS(BOM!$G$2:$G$400,BOM!$B$2:$B$400,$A19,BOM!$E$2:$E$400,I$5)</f>
        <v>0</v>
      </c>
      <c r="J19" s="72" t="n">
        <f aca="false">SUMIFS(BOM!$G$2:$G$400,BOM!$B$2:$B$400,$A19,BOM!$E$2:$E$400,J$5)</f>
        <v>0.022</v>
      </c>
      <c r="K19" s="72" t="n">
        <f aca="false">SUMIFS(BOM!$G$2:$G$400,BOM!$B$2:$B$400,$A19,BOM!$E$2:$E$400,K$5)</f>
        <v>0</v>
      </c>
      <c r="L19" s="72" t="n">
        <f aca="false">SUMIFS(BOM!$G$2:$G$400,BOM!$B$2:$B$400,$A19,BOM!$E$2:$E$400,L$5)</f>
        <v>0.3</v>
      </c>
      <c r="M19" s="73" t="n">
        <f aca="false">SUM(C19:L19)</f>
        <v>1.052</v>
      </c>
      <c r="N19" s="53" t="n">
        <f aca="false">COUNTIF(C19:L19,"&gt;0")</f>
        <v>6</v>
      </c>
    </row>
    <row r="20" customFormat="false" ht="15" hidden="false" customHeight="false" outlineLevel="0" collapsed="false">
      <c r="A20" s="6" t="s">
        <v>251</v>
      </c>
      <c r="B20" s="43" t="str">
        <f aca="false">INDEX(Products!$B$2:$B$16,MATCH($A20,Products!$A$2:$A$16,0))</f>
        <v>Water Pump 0.5 HP Monoblock</v>
      </c>
      <c r="C20" s="72" t="n">
        <f aca="false">SUMIFS(BOM!$G$2:$G$400,BOM!$B$2:$B$400,$A20,BOM!$E$2:$E$400,C$5)</f>
        <v>2</v>
      </c>
      <c r="D20" s="72" t="n">
        <f aca="false">SUMIFS(BOM!$G$2:$G$400,BOM!$B$2:$B$400,$A20,BOM!$E$2:$E$400,D$5)</f>
        <v>0.7</v>
      </c>
      <c r="E20" s="72" t="n">
        <f aca="false">SUMIFS(BOM!$G$2:$G$400,BOM!$B$2:$B$400,$A20,BOM!$E$2:$E$400,E$5)</f>
        <v>1.3</v>
      </c>
      <c r="F20" s="72" t="n">
        <f aca="false">SUMIFS(BOM!$G$2:$G$400,BOM!$B$2:$B$400,$A20,BOM!$E$2:$E$400,F$5)</f>
        <v>0.8</v>
      </c>
      <c r="G20" s="72" t="n">
        <f aca="false">SUMIFS(BOM!$G$2:$G$400,BOM!$B$2:$B$400,$A20,BOM!$E$2:$E$400,G$5)</f>
        <v>0.28</v>
      </c>
      <c r="H20" s="72" t="n">
        <f aca="false">SUMIFS(BOM!$G$2:$G$400,BOM!$B$2:$B$400,$A20,BOM!$E$2:$E$400,H$5)</f>
        <v>0</v>
      </c>
      <c r="I20" s="72" t="n">
        <f aca="false">SUMIFS(BOM!$G$2:$G$400,BOM!$B$2:$B$400,$A20,BOM!$E$2:$E$400,I$5)</f>
        <v>0.18</v>
      </c>
      <c r="J20" s="72" t="n">
        <f aca="false">SUMIFS(BOM!$G$2:$G$400,BOM!$B$2:$B$400,$A20,BOM!$E$2:$E$400,J$5)</f>
        <v>0</v>
      </c>
      <c r="K20" s="72" t="n">
        <f aca="false">SUMIFS(BOM!$G$2:$G$400,BOM!$B$2:$B$400,$A20,BOM!$E$2:$E$400,K$5)</f>
        <v>0.06</v>
      </c>
      <c r="L20" s="72" t="n">
        <f aca="false">SUMIFS(BOM!$G$2:$G$400,BOM!$B$2:$B$400,$A20,BOM!$E$2:$E$400,L$5)</f>
        <v>0.85</v>
      </c>
      <c r="M20" s="73" t="n">
        <f aca="false">SUM(C20:L20)</f>
        <v>6.17</v>
      </c>
      <c r="N20" s="53" t="n">
        <f aca="false">COUNTIF(C20:L20,"&gt;0")</f>
        <v>8</v>
      </c>
    </row>
    <row r="21" customFormat="false" ht="15" hidden="false" customHeight="false" outlineLevel="0" collapsed="false">
      <c r="A21" s="46" t="s">
        <v>658</v>
      </c>
      <c r="B21" s="46"/>
      <c r="C21" s="67" t="n">
        <f aca="false">COUNTIF(C6:C20,"&gt;0")</f>
        <v>10</v>
      </c>
      <c r="D21" s="67" t="n">
        <f aca="false">COUNTIF(D6:D20,"&gt;0")</f>
        <v>13</v>
      </c>
      <c r="E21" s="67" t="n">
        <f aca="false">COUNTIF(E6:E20,"&gt;0")</f>
        <v>13</v>
      </c>
      <c r="F21" s="67" t="n">
        <f aca="false">COUNTIF(F6:F20,"&gt;0")</f>
        <v>11</v>
      </c>
      <c r="G21" s="67" t="n">
        <f aca="false">COUNTIF(G6:G20,"&gt;0")</f>
        <v>11</v>
      </c>
      <c r="H21" s="67" t="n">
        <f aca="false">COUNTIF(H6:H20,"&gt;0")</f>
        <v>11</v>
      </c>
      <c r="I21" s="67" t="n">
        <f aca="false">COUNTIF(I6:I20,"&gt;0")</f>
        <v>5</v>
      </c>
      <c r="J21" s="67" t="n">
        <f aca="false">COUNTIF(J6:J20,"&gt;0")</f>
        <v>5</v>
      </c>
      <c r="K21" s="67" t="n">
        <f aca="false">COUNTIF(K6:K20,"&gt;0")</f>
        <v>8</v>
      </c>
      <c r="L21" s="67" t="n">
        <f aca="false">COUNTIF(L6:L20,"&gt;0")</f>
        <v>15</v>
      </c>
      <c r="M21" s="47"/>
      <c r="N21" s="47"/>
    </row>
    <row r="23" customFormat="false" ht="19.5" hidden="false" customHeight="true" outlineLevel="0" collapsed="false">
      <c r="A23" s="3" t="s">
        <v>659</v>
      </c>
      <c r="B23" s="4"/>
      <c r="C23" s="4"/>
      <c r="D23" s="4"/>
      <c r="E23" s="4"/>
      <c r="F23" s="4"/>
      <c r="G23" s="4"/>
      <c r="H23" s="4"/>
      <c r="I23" s="4"/>
      <c r="J23" s="4"/>
      <c r="K23" s="4"/>
      <c r="L23" s="4"/>
      <c r="M23" s="4"/>
      <c r="N23" s="4"/>
    </row>
    <row r="24" customFormat="false" ht="25.5" hidden="false" customHeight="true" outlineLevel="0" collapsed="false">
      <c r="A24" s="63"/>
      <c r="B24" s="63"/>
      <c r="C24" s="71" t="str">
        <f aca="false">RawMaterials!$C$2</f>
        <v>CRNGO steel coil</v>
      </c>
      <c r="D24" s="71" t="str">
        <f aca="false">RawMaterials!$C$3</f>
        <v>CRCA steel sheet</v>
      </c>
      <c r="E24" s="71" t="str">
        <f aca="false">RawMaterials!$C$4</f>
        <v>Aluminium ADC12</v>
      </c>
      <c r="F24" s="71" t="str">
        <f aca="false">RawMaterials!$C$5</f>
        <v>Copper winding wire</v>
      </c>
      <c r="G24" s="71" t="str">
        <f aca="false">RawMaterials!$C$6</f>
        <v>PP granules</v>
      </c>
      <c r="H24" s="71" t="str">
        <f aca="false">RawMaterials!$C$7</f>
        <v>ABS granules</v>
      </c>
      <c r="I24" s="71" t="str">
        <f aca="false">RawMaterials!$C$8</f>
        <v>SS304 sheet</v>
      </c>
      <c r="J24" s="71" t="str">
        <f aca="false">RawMaterials!$C$9</f>
        <v>Nichrome wire</v>
      </c>
      <c r="K24" s="71" t="str">
        <f aca="false">RawMaterials!$C$10</f>
        <v>Powder coating</v>
      </c>
      <c r="L24" s="71" t="str">
        <f aca="false">RawMaterials!$C$11</f>
        <v>Corrugated cartons</v>
      </c>
    </row>
    <row r="25" customFormat="false" ht="30" hidden="false" customHeight="true" outlineLevel="0" collapsed="false">
      <c r="A25" s="8" t="s">
        <v>172</v>
      </c>
      <c r="B25" s="8" t="s">
        <v>118</v>
      </c>
      <c r="C25" s="8" t="s">
        <v>277</v>
      </c>
      <c r="D25" s="8" t="s">
        <v>286</v>
      </c>
      <c r="E25" s="8" t="s">
        <v>292</v>
      </c>
      <c r="F25" s="8" t="s">
        <v>300</v>
      </c>
      <c r="G25" s="8" t="s">
        <v>306</v>
      </c>
      <c r="H25" s="8" t="s">
        <v>313</v>
      </c>
      <c r="I25" s="8" t="s">
        <v>319</v>
      </c>
      <c r="J25" s="8" t="s">
        <v>326</v>
      </c>
      <c r="K25" s="8" t="s">
        <v>333</v>
      </c>
      <c r="L25" s="8" t="s">
        <v>340</v>
      </c>
      <c r="M25" s="8" t="s">
        <v>660</v>
      </c>
      <c r="N25" s="8" t="s">
        <v>661</v>
      </c>
    </row>
    <row r="26" customFormat="false" ht="15" hidden="false" customHeight="false" outlineLevel="0" collapsed="false">
      <c r="A26" s="6" t="s">
        <v>191</v>
      </c>
      <c r="B26" s="43" t="str">
        <f aca="false">INDEX(Products!$B$2:$B$16,MATCH($A26,Products!$A$2:$A$16,0))</f>
        <v>Ceiling Fan 1200 mm - Induction</v>
      </c>
      <c r="C26" s="72" t="n">
        <f aca="false">SUMIFS(BOM!$I$2:$I$400,BOM!$B$2:$B$400,$A26,BOM!$E$2:$E$400,C$25)</f>
        <v>1.21428571428571</v>
      </c>
      <c r="D26" s="72" t="n">
        <f aca="false">SUMIFS(BOM!$I$2:$I$400,BOM!$B$2:$B$400,$A26,BOM!$E$2:$E$400,D$25)</f>
        <v>2.47058823529412</v>
      </c>
      <c r="E26" s="72" t="n">
        <f aca="false">SUMIFS(BOM!$I$2:$I$400,BOM!$B$2:$B$400,$A26,BOM!$E$2:$E$400,E$25)</f>
        <v>0.543478260869565</v>
      </c>
      <c r="F26" s="72" t="n">
        <f aca="false">SUMIFS(BOM!$I$2:$I$400,BOM!$B$2:$B$400,$A26,BOM!$E$2:$E$400,F$25)</f>
        <v>0.428571428571429</v>
      </c>
      <c r="G26" s="72" t="n">
        <f aca="false">SUMIFS(BOM!$I$2:$I$400,BOM!$B$2:$B$400,$A26,BOM!$E$2:$E$400,G$25)</f>
        <v>0</v>
      </c>
      <c r="H26" s="72" t="n">
        <f aca="false">SUMIFS(BOM!$I$2:$I$400,BOM!$B$2:$B$400,$A26,BOM!$E$2:$E$400,H$25)</f>
        <v>0</v>
      </c>
      <c r="I26" s="72" t="n">
        <f aca="false">SUMIFS(BOM!$I$2:$I$400,BOM!$B$2:$B$400,$A26,BOM!$E$2:$E$400,I$25)</f>
        <v>0</v>
      </c>
      <c r="J26" s="72" t="n">
        <f aca="false">SUMIFS(BOM!$I$2:$I$400,BOM!$B$2:$B$400,$A26,BOM!$E$2:$E$400,J$25)</f>
        <v>0</v>
      </c>
      <c r="K26" s="72" t="n">
        <f aca="false">SUMIFS(BOM!$I$2:$I$400,BOM!$B$2:$B$400,$A26,BOM!$E$2:$E$400,K$25)</f>
        <v>0.1</v>
      </c>
      <c r="L26" s="72" t="n">
        <f aca="false">SUMIFS(BOM!$I$2:$I$400,BOM!$B$2:$B$400,$A26,BOM!$E$2:$E$400,L$25)</f>
        <v>0.77319587628866</v>
      </c>
      <c r="M26" s="73" t="n">
        <f aca="false">SUM(C26:L26)</f>
        <v>5.53011951530949</v>
      </c>
      <c r="N26" s="32" t="n">
        <f aca="false">IF(M26=0,0,(M26-M6)/M26)</f>
        <v>0.150108783908087</v>
      </c>
    </row>
    <row r="27" customFormat="false" ht="15" hidden="false" customHeight="false" outlineLevel="0" collapsed="false">
      <c r="A27" s="6" t="s">
        <v>197</v>
      </c>
      <c r="B27" s="43" t="str">
        <f aca="false">INDEX(Products!$B$2:$B$16,MATCH($A27,Products!$A$2:$A$16,0))</f>
        <v>Ceiling Fan 1200 mm - BLDC</v>
      </c>
      <c r="C27" s="72" t="n">
        <f aca="false">SUMIFS(BOM!$I$2:$I$400,BOM!$B$2:$B$400,$A27,BOM!$E$2:$E$400,C$25)</f>
        <v>0.885714285714286</v>
      </c>
      <c r="D27" s="72" t="n">
        <f aca="false">SUMIFS(BOM!$I$2:$I$400,BOM!$B$2:$B$400,$A27,BOM!$E$2:$E$400,D$25)</f>
        <v>2.17647058823529</v>
      </c>
      <c r="E27" s="72" t="n">
        <f aca="false">SUMIFS(BOM!$I$2:$I$400,BOM!$B$2:$B$400,$A27,BOM!$E$2:$E$400,E$25)</f>
        <v>0.489130434782609</v>
      </c>
      <c r="F27" s="72" t="n">
        <f aca="false">SUMIFS(BOM!$I$2:$I$400,BOM!$B$2:$B$400,$A27,BOM!$E$2:$E$400,F$25)</f>
        <v>0.336734693877551</v>
      </c>
      <c r="G27" s="72" t="n">
        <f aca="false">SUMIFS(BOM!$I$2:$I$400,BOM!$B$2:$B$400,$A27,BOM!$E$2:$E$400,G$25)</f>
        <v>0</v>
      </c>
      <c r="H27" s="72" t="n">
        <f aca="false">SUMIFS(BOM!$I$2:$I$400,BOM!$B$2:$B$400,$A27,BOM!$E$2:$E$400,H$25)</f>
        <v>0</v>
      </c>
      <c r="I27" s="72" t="n">
        <f aca="false">SUMIFS(BOM!$I$2:$I$400,BOM!$B$2:$B$400,$A27,BOM!$E$2:$E$400,I$25)</f>
        <v>0</v>
      </c>
      <c r="J27" s="72" t="n">
        <f aca="false">SUMIFS(BOM!$I$2:$I$400,BOM!$B$2:$B$400,$A27,BOM!$E$2:$E$400,J$25)</f>
        <v>0</v>
      </c>
      <c r="K27" s="72" t="n">
        <f aca="false">SUMIFS(BOM!$I$2:$I$400,BOM!$B$2:$B$400,$A27,BOM!$E$2:$E$400,K$25)</f>
        <v>0.0875</v>
      </c>
      <c r="L27" s="72" t="n">
        <f aca="false">SUMIFS(BOM!$I$2:$I$400,BOM!$B$2:$B$400,$A27,BOM!$E$2:$E$400,L$25)</f>
        <v>0.742268041237113</v>
      </c>
      <c r="M27" s="73" t="n">
        <f aca="false">SUM(C27:L27)</f>
        <v>4.71781804384685</v>
      </c>
      <c r="N27" s="32" t="n">
        <f aca="false">IF(M27=0,0,(M27-M7)/M27)</f>
        <v>0.143671934260137</v>
      </c>
    </row>
    <row r="28" customFormat="false" ht="15" hidden="false" customHeight="false" outlineLevel="0" collapsed="false">
      <c r="A28" s="6" t="s">
        <v>201</v>
      </c>
      <c r="B28" s="43" t="str">
        <f aca="false">INDEX(Products!$B$2:$B$16,MATCH($A28,Products!$A$2:$A$16,0))</f>
        <v>Pedestal Fan 400 mm</v>
      </c>
      <c r="C28" s="72" t="n">
        <f aca="false">SUMIFS(BOM!$I$2:$I$400,BOM!$B$2:$B$400,$A28,BOM!$E$2:$E$400,C$25)</f>
        <v>0.542857142857143</v>
      </c>
      <c r="D28" s="72" t="n">
        <f aca="false">SUMIFS(BOM!$I$2:$I$400,BOM!$B$2:$B$400,$A28,BOM!$E$2:$E$400,D$25)</f>
        <v>1.82352941176471</v>
      </c>
      <c r="E28" s="72" t="n">
        <f aca="false">SUMIFS(BOM!$I$2:$I$400,BOM!$B$2:$B$400,$A28,BOM!$E$2:$E$400,E$25)</f>
        <v>0.347826086956522</v>
      </c>
      <c r="F28" s="72" t="n">
        <f aca="false">SUMIFS(BOM!$I$2:$I$400,BOM!$B$2:$B$400,$A28,BOM!$E$2:$E$400,F$25)</f>
        <v>0.244897959183673</v>
      </c>
      <c r="G28" s="72" t="n">
        <f aca="false">SUMIFS(BOM!$I$2:$I$400,BOM!$B$2:$B$400,$A28,BOM!$E$2:$E$400,G$25)</f>
        <v>0.309278350515464</v>
      </c>
      <c r="H28" s="72" t="n">
        <f aca="false">SUMIFS(BOM!$I$2:$I$400,BOM!$B$2:$B$400,$A28,BOM!$E$2:$E$400,H$25)</f>
        <v>0.412371134020619</v>
      </c>
      <c r="I28" s="72" t="n">
        <f aca="false">SUMIFS(BOM!$I$2:$I$400,BOM!$B$2:$B$400,$A28,BOM!$E$2:$E$400,I$25)</f>
        <v>0</v>
      </c>
      <c r="J28" s="72" t="n">
        <f aca="false">SUMIFS(BOM!$I$2:$I$400,BOM!$B$2:$B$400,$A28,BOM!$E$2:$E$400,J$25)</f>
        <v>0</v>
      </c>
      <c r="K28" s="72" t="n">
        <f aca="false">SUMIFS(BOM!$I$2:$I$400,BOM!$B$2:$B$400,$A28,BOM!$E$2:$E$400,K$25)</f>
        <v>0.0875</v>
      </c>
      <c r="L28" s="72" t="n">
        <f aca="false">SUMIFS(BOM!$I$2:$I$400,BOM!$B$2:$B$400,$A28,BOM!$E$2:$E$400,L$25)</f>
        <v>1.23711340206186</v>
      </c>
      <c r="M28" s="73" t="n">
        <f aca="false">SUM(C28:L28)</f>
        <v>5.00537348735998</v>
      </c>
      <c r="N28" s="32" t="n">
        <f aca="false">IF(M28=0,0,(M28-M8)/M28)</f>
        <v>0.108957601013632</v>
      </c>
    </row>
    <row r="29" customFormat="false" ht="15" hidden="false" customHeight="false" outlineLevel="0" collapsed="false">
      <c r="A29" s="6" t="s">
        <v>205</v>
      </c>
      <c r="B29" s="43" t="str">
        <f aca="false">INDEX(Products!$B$2:$B$16,MATCH($A29,Products!$A$2:$A$16,0))</f>
        <v>Table Fan 400 mm</v>
      </c>
      <c r="C29" s="72" t="n">
        <f aca="false">SUMIFS(BOM!$I$2:$I$400,BOM!$B$2:$B$400,$A29,BOM!$E$2:$E$400,C$25)</f>
        <v>0.428571428571429</v>
      </c>
      <c r="D29" s="72" t="n">
        <f aca="false">SUMIFS(BOM!$I$2:$I$400,BOM!$B$2:$B$400,$A29,BOM!$E$2:$E$400,D$25)</f>
        <v>0.882352941176471</v>
      </c>
      <c r="E29" s="72" t="n">
        <f aca="false">SUMIFS(BOM!$I$2:$I$400,BOM!$B$2:$B$400,$A29,BOM!$E$2:$E$400,E$25)</f>
        <v>0.217391304347826</v>
      </c>
      <c r="F29" s="72" t="n">
        <f aca="false">SUMIFS(BOM!$I$2:$I$400,BOM!$B$2:$B$400,$A29,BOM!$E$2:$E$400,F$25)</f>
        <v>0.193877551020408</v>
      </c>
      <c r="G29" s="72" t="n">
        <f aca="false">SUMIFS(BOM!$I$2:$I$400,BOM!$B$2:$B$400,$A29,BOM!$E$2:$E$400,G$25)</f>
        <v>0.257731958762887</v>
      </c>
      <c r="H29" s="72" t="n">
        <f aca="false">SUMIFS(BOM!$I$2:$I$400,BOM!$B$2:$B$400,$A29,BOM!$E$2:$E$400,H$25)</f>
        <v>0.43298969072165</v>
      </c>
      <c r="I29" s="72" t="n">
        <f aca="false">SUMIFS(BOM!$I$2:$I$400,BOM!$B$2:$B$400,$A29,BOM!$E$2:$E$400,I$25)</f>
        <v>0</v>
      </c>
      <c r="J29" s="72" t="n">
        <f aca="false">SUMIFS(BOM!$I$2:$I$400,BOM!$B$2:$B$400,$A29,BOM!$E$2:$E$400,J$25)</f>
        <v>0</v>
      </c>
      <c r="K29" s="72" t="n">
        <f aca="false">SUMIFS(BOM!$I$2:$I$400,BOM!$B$2:$B$400,$A29,BOM!$E$2:$E$400,K$25)</f>
        <v>0.0375</v>
      </c>
      <c r="L29" s="72" t="n">
        <f aca="false">SUMIFS(BOM!$I$2:$I$400,BOM!$B$2:$B$400,$A29,BOM!$E$2:$E$400,L$25)</f>
        <v>0.618556701030928</v>
      </c>
      <c r="M29" s="73" t="n">
        <f aca="false">SUM(C29:L29)</f>
        <v>3.0689715756316</v>
      </c>
      <c r="N29" s="32" t="n">
        <f aca="false">IF(M29=0,0,(M29-M9)/M29)</f>
        <v>0.107192773710814</v>
      </c>
    </row>
    <row r="30" customFormat="false" ht="15" hidden="false" customHeight="false" outlineLevel="0" collapsed="false">
      <c r="A30" s="6" t="s">
        <v>208</v>
      </c>
      <c r="B30" s="43" t="str">
        <f aca="false">INDEX(Products!$B$2:$B$16,MATCH($A30,Products!$A$2:$A$16,0))</f>
        <v>Exhaust Fan 230 mm</v>
      </c>
      <c r="C30" s="72" t="n">
        <f aca="false">SUMIFS(BOM!$I$2:$I$400,BOM!$B$2:$B$400,$A30,BOM!$E$2:$E$400,C$25)</f>
        <v>0.228571428571429</v>
      </c>
      <c r="D30" s="72" t="n">
        <f aca="false">SUMIFS(BOM!$I$2:$I$400,BOM!$B$2:$B$400,$A30,BOM!$E$2:$E$400,D$25)</f>
        <v>0.529411764705882</v>
      </c>
      <c r="E30" s="72" t="n">
        <f aca="false">SUMIFS(BOM!$I$2:$I$400,BOM!$B$2:$B$400,$A30,BOM!$E$2:$E$400,E$25)</f>
        <v>0.0869565217391304</v>
      </c>
      <c r="F30" s="72" t="n">
        <f aca="false">SUMIFS(BOM!$I$2:$I$400,BOM!$B$2:$B$400,$A30,BOM!$E$2:$E$400,F$25)</f>
        <v>0.0918367346938776</v>
      </c>
      <c r="G30" s="72" t="n">
        <f aca="false">SUMIFS(BOM!$I$2:$I$400,BOM!$B$2:$B$400,$A30,BOM!$E$2:$E$400,G$25)</f>
        <v>0.206185567010309</v>
      </c>
      <c r="H30" s="72" t="n">
        <f aca="false">SUMIFS(BOM!$I$2:$I$400,BOM!$B$2:$B$400,$A30,BOM!$E$2:$E$400,H$25)</f>
        <v>0.391752577319588</v>
      </c>
      <c r="I30" s="72" t="n">
        <f aca="false">SUMIFS(BOM!$I$2:$I$400,BOM!$B$2:$B$400,$A30,BOM!$E$2:$E$400,I$25)</f>
        <v>0</v>
      </c>
      <c r="J30" s="72" t="n">
        <f aca="false">SUMIFS(BOM!$I$2:$I$400,BOM!$B$2:$B$400,$A30,BOM!$E$2:$E$400,J$25)</f>
        <v>0</v>
      </c>
      <c r="K30" s="72" t="n">
        <f aca="false">SUMIFS(BOM!$I$2:$I$400,BOM!$B$2:$B$400,$A30,BOM!$E$2:$E$400,K$25)</f>
        <v>0.025</v>
      </c>
      <c r="L30" s="72" t="n">
        <f aca="false">SUMIFS(BOM!$I$2:$I$400,BOM!$B$2:$B$400,$A30,BOM!$E$2:$E$400,L$25)</f>
        <v>0.412371134020619</v>
      </c>
      <c r="M30" s="73" t="n">
        <f aca="false">SUM(C30:L30)</f>
        <v>1.97208572806083</v>
      </c>
      <c r="N30" s="32" t="n">
        <f aca="false">IF(M30=0,0,(M30-M10)/M30)</f>
        <v>0.0974023214749967</v>
      </c>
    </row>
    <row r="31" customFormat="false" ht="15" hidden="false" customHeight="false" outlineLevel="0" collapsed="false">
      <c r="A31" s="6" t="s">
        <v>212</v>
      </c>
      <c r="B31" s="43" t="str">
        <f aca="false">INDEX(Products!$B$2:$B$16,MATCH($A31,Products!$A$2:$A$16,0))</f>
        <v>Personal Air Cooler 30 L</v>
      </c>
      <c r="C31" s="72" t="n">
        <f aca="false">SUMIFS(BOM!$I$2:$I$400,BOM!$B$2:$B$400,$A31,BOM!$E$2:$E$400,C$25)</f>
        <v>0.314285714285714</v>
      </c>
      <c r="D31" s="72" t="n">
        <f aca="false">SUMIFS(BOM!$I$2:$I$400,BOM!$B$2:$B$400,$A31,BOM!$E$2:$E$400,D$25)</f>
        <v>0.411764705882353</v>
      </c>
      <c r="E31" s="72" t="n">
        <f aca="false">SUMIFS(BOM!$I$2:$I$400,BOM!$B$2:$B$400,$A31,BOM!$E$2:$E$400,E$25)</f>
        <v>0.108695652173913</v>
      </c>
      <c r="F31" s="72" t="n">
        <f aca="false">SUMIFS(BOM!$I$2:$I$400,BOM!$B$2:$B$400,$A31,BOM!$E$2:$E$400,F$25)</f>
        <v>0.122448979591837</v>
      </c>
      <c r="G31" s="72" t="n">
        <f aca="false">SUMIFS(BOM!$I$2:$I$400,BOM!$B$2:$B$400,$A31,BOM!$E$2:$E$400,G$25)</f>
        <v>4.74226804123711</v>
      </c>
      <c r="H31" s="72" t="n">
        <f aca="false">SUMIFS(BOM!$I$2:$I$400,BOM!$B$2:$B$400,$A31,BOM!$E$2:$E$400,H$25)</f>
        <v>0.360824742268041</v>
      </c>
      <c r="I31" s="72" t="n">
        <f aca="false">SUMIFS(BOM!$I$2:$I$400,BOM!$B$2:$B$400,$A31,BOM!$E$2:$E$400,I$25)</f>
        <v>0</v>
      </c>
      <c r="J31" s="72" t="n">
        <f aca="false">SUMIFS(BOM!$I$2:$I$400,BOM!$B$2:$B$400,$A31,BOM!$E$2:$E$400,J$25)</f>
        <v>0</v>
      </c>
      <c r="K31" s="72" t="n">
        <f aca="false">SUMIFS(BOM!$I$2:$I$400,BOM!$B$2:$B$400,$A31,BOM!$E$2:$E$400,K$25)</f>
        <v>0</v>
      </c>
      <c r="L31" s="72" t="n">
        <f aca="false">SUMIFS(BOM!$I$2:$I$400,BOM!$B$2:$B$400,$A31,BOM!$E$2:$E$400,L$25)</f>
        <v>1.64948453608247</v>
      </c>
      <c r="M31" s="73" t="n">
        <f aca="false">SUM(C31:L31)</f>
        <v>7.70977237152145</v>
      </c>
      <c r="N31" s="32" t="n">
        <f aca="false">IF(M31=0,0,(M31-M11)/M31)</f>
        <v>0.0479615160737198</v>
      </c>
    </row>
    <row r="32" customFormat="false" ht="15" hidden="false" customHeight="false" outlineLevel="0" collapsed="false">
      <c r="A32" s="6" t="s">
        <v>216</v>
      </c>
      <c r="B32" s="43" t="str">
        <f aca="false">INDEX(Products!$B$2:$B$16,MATCH($A32,Products!$A$2:$A$16,0))</f>
        <v>Mixer Grinder 500 W</v>
      </c>
      <c r="C32" s="72" t="n">
        <f aca="false">SUMIFS(BOM!$I$2:$I$400,BOM!$B$2:$B$400,$A32,BOM!$E$2:$E$400,C$25)</f>
        <v>0.642857142857143</v>
      </c>
      <c r="D32" s="72" t="n">
        <f aca="false">SUMIFS(BOM!$I$2:$I$400,BOM!$B$2:$B$400,$A32,BOM!$E$2:$E$400,D$25)</f>
        <v>0.141176470588235</v>
      </c>
      <c r="E32" s="72" t="n">
        <f aca="false">SUMIFS(BOM!$I$2:$I$400,BOM!$B$2:$B$400,$A32,BOM!$E$2:$E$400,E$25)</f>
        <v>0.380434782608696</v>
      </c>
      <c r="F32" s="72" t="n">
        <f aca="false">SUMIFS(BOM!$I$2:$I$400,BOM!$B$2:$B$400,$A32,BOM!$E$2:$E$400,F$25)</f>
        <v>0.224489795918367</v>
      </c>
      <c r="G32" s="72" t="n">
        <f aca="false">SUMIFS(BOM!$I$2:$I$400,BOM!$B$2:$B$400,$A32,BOM!$E$2:$E$400,G$25)</f>
        <v>0.309278350515464</v>
      </c>
      <c r="H32" s="72" t="n">
        <f aca="false">SUMIFS(BOM!$I$2:$I$400,BOM!$B$2:$B$400,$A32,BOM!$E$2:$E$400,H$25)</f>
        <v>0.567010309278351</v>
      </c>
      <c r="I32" s="72" t="n">
        <f aca="false">SUMIFS(BOM!$I$2:$I$400,BOM!$B$2:$B$400,$A32,BOM!$E$2:$E$400,I$25)</f>
        <v>0.731707317073171</v>
      </c>
      <c r="J32" s="72" t="n">
        <f aca="false">SUMIFS(BOM!$I$2:$I$400,BOM!$B$2:$B$400,$A32,BOM!$E$2:$E$400,J$25)</f>
        <v>0</v>
      </c>
      <c r="K32" s="72" t="n">
        <f aca="false">SUMIFS(BOM!$I$2:$I$400,BOM!$B$2:$B$400,$A32,BOM!$E$2:$E$400,K$25)</f>
        <v>0</v>
      </c>
      <c r="L32" s="72" t="n">
        <f aca="false">SUMIFS(BOM!$I$2:$I$400,BOM!$B$2:$B$400,$A32,BOM!$E$2:$E$400,L$25)</f>
        <v>0.567010309278351</v>
      </c>
      <c r="M32" s="73" t="n">
        <f aca="false">SUM(C32:L32)</f>
        <v>3.56396447811778</v>
      </c>
      <c r="N32" s="32" t="n">
        <f aca="false">IF(M32=0,0,(M32-M12)/M32)</f>
        <v>0.118958671086892</v>
      </c>
    </row>
    <row r="33" customFormat="false" ht="15" hidden="false" customHeight="false" outlineLevel="0" collapsed="false">
      <c r="A33" s="6" t="s">
        <v>222</v>
      </c>
      <c r="B33" s="43" t="str">
        <f aca="false">INDEX(Products!$B$2:$B$16,MATCH($A33,Products!$A$2:$A$16,0))</f>
        <v>Mixer Grinder 750 W</v>
      </c>
      <c r="C33" s="72" t="n">
        <f aca="false">SUMIFS(BOM!$I$2:$I$400,BOM!$B$2:$B$400,$A33,BOM!$E$2:$E$400,C$25)</f>
        <v>0.885714285714286</v>
      </c>
      <c r="D33" s="72" t="n">
        <f aca="false">SUMIFS(BOM!$I$2:$I$400,BOM!$B$2:$B$400,$A33,BOM!$E$2:$E$400,D$25)</f>
        <v>0.176470588235294</v>
      </c>
      <c r="E33" s="72" t="n">
        <f aca="false">SUMIFS(BOM!$I$2:$I$400,BOM!$B$2:$B$400,$A33,BOM!$E$2:$E$400,E$25)</f>
        <v>0.521739130434783</v>
      </c>
      <c r="F33" s="72" t="n">
        <f aca="false">SUMIFS(BOM!$I$2:$I$400,BOM!$B$2:$B$400,$A33,BOM!$E$2:$E$400,F$25)</f>
        <v>0.306122448979592</v>
      </c>
      <c r="G33" s="72" t="n">
        <f aca="false">SUMIFS(BOM!$I$2:$I$400,BOM!$B$2:$B$400,$A33,BOM!$E$2:$E$400,G$25)</f>
        <v>0.350515463917526</v>
      </c>
      <c r="H33" s="72" t="n">
        <f aca="false">SUMIFS(BOM!$I$2:$I$400,BOM!$B$2:$B$400,$A33,BOM!$E$2:$E$400,H$25)</f>
        <v>0.639175257731959</v>
      </c>
      <c r="I33" s="72" t="n">
        <f aca="false">SUMIFS(BOM!$I$2:$I$400,BOM!$B$2:$B$400,$A33,BOM!$E$2:$E$400,I$25)</f>
        <v>0.951219512195122</v>
      </c>
      <c r="J33" s="72" t="n">
        <f aca="false">SUMIFS(BOM!$I$2:$I$400,BOM!$B$2:$B$400,$A33,BOM!$E$2:$E$400,J$25)</f>
        <v>0</v>
      </c>
      <c r="K33" s="72" t="n">
        <f aca="false">SUMIFS(BOM!$I$2:$I$400,BOM!$B$2:$B$400,$A33,BOM!$E$2:$E$400,K$25)</f>
        <v>0</v>
      </c>
      <c r="L33" s="72" t="n">
        <f aca="false">SUMIFS(BOM!$I$2:$I$400,BOM!$B$2:$B$400,$A33,BOM!$E$2:$E$400,L$25)</f>
        <v>0.639175257731959</v>
      </c>
      <c r="M33" s="73" t="n">
        <f aca="false">SUM(C33:L33)</f>
        <v>4.47013194494052</v>
      </c>
      <c r="N33" s="32" t="n">
        <f aca="false">IF(M33=0,0,(M33-M13)/M33)</f>
        <v>0.12530546118991</v>
      </c>
    </row>
    <row r="34" customFormat="false" ht="15" hidden="false" customHeight="false" outlineLevel="0" collapsed="false">
      <c r="A34" s="6" t="s">
        <v>225</v>
      </c>
      <c r="B34" s="43" t="str">
        <f aca="false">INDEX(Products!$B$2:$B$16,MATCH($A34,Products!$A$2:$A$16,0))</f>
        <v>Electric Kettle 1.5 L</v>
      </c>
      <c r="C34" s="72" t="n">
        <f aca="false">SUMIFS(BOM!$I$2:$I$400,BOM!$B$2:$B$400,$A34,BOM!$E$2:$E$400,C$25)</f>
        <v>0</v>
      </c>
      <c r="D34" s="72" t="n">
        <f aca="false">SUMIFS(BOM!$I$2:$I$400,BOM!$B$2:$B$400,$A34,BOM!$E$2:$E$400,D$25)</f>
        <v>0</v>
      </c>
      <c r="E34" s="72" t="n">
        <f aca="false">SUMIFS(BOM!$I$2:$I$400,BOM!$B$2:$B$400,$A34,BOM!$E$2:$E$400,E$25)</f>
        <v>0</v>
      </c>
      <c r="F34" s="72" t="n">
        <f aca="false">SUMIFS(BOM!$I$2:$I$400,BOM!$B$2:$B$400,$A34,BOM!$E$2:$E$400,F$25)</f>
        <v>0</v>
      </c>
      <c r="G34" s="72" t="n">
        <f aca="false">SUMIFS(BOM!$I$2:$I$400,BOM!$B$2:$B$400,$A34,BOM!$E$2:$E$400,G$25)</f>
        <v>0.144329896907217</v>
      </c>
      <c r="H34" s="72" t="n">
        <f aca="false">SUMIFS(BOM!$I$2:$I$400,BOM!$B$2:$B$400,$A34,BOM!$E$2:$E$400,H$25)</f>
        <v>0.206185567010309</v>
      </c>
      <c r="I34" s="72" t="n">
        <f aca="false">SUMIFS(BOM!$I$2:$I$400,BOM!$B$2:$B$400,$A34,BOM!$E$2:$E$400,I$25)</f>
        <v>0.51219512195122</v>
      </c>
      <c r="J34" s="72" t="n">
        <f aca="false">SUMIFS(BOM!$I$2:$I$400,BOM!$B$2:$B$400,$A34,BOM!$E$2:$E$400,J$25)</f>
        <v>0.0125</v>
      </c>
      <c r="K34" s="72" t="n">
        <f aca="false">SUMIFS(BOM!$I$2:$I$400,BOM!$B$2:$B$400,$A34,BOM!$E$2:$E$400,K$25)</f>
        <v>0</v>
      </c>
      <c r="L34" s="72" t="n">
        <f aca="false">SUMIFS(BOM!$I$2:$I$400,BOM!$B$2:$B$400,$A34,BOM!$E$2:$E$400,L$25)</f>
        <v>0.34020618556701</v>
      </c>
      <c r="M34" s="73" t="n">
        <f aca="false">SUM(C34:L34)</f>
        <v>1.21541677143576</v>
      </c>
      <c r="N34" s="32" t="n">
        <f aca="false">IF(M34=0,0,(M34-M14)/M34)</f>
        <v>0.0933151278649691</v>
      </c>
    </row>
    <row r="35" customFormat="false" ht="15" hidden="false" customHeight="false" outlineLevel="0" collapsed="false">
      <c r="A35" s="6" t="s">
        <v>229</v>
      </c>
      <c r="B35" s="43" t="str">
        <f aca="false">INDEX(Products!$B$2:$B$16,MATCH($A35,Products!$A$2:$A$16,0))</f>
        <v>Induction Cooktop 2000 W</v>
      </c>
      <c r="C35" s="72" t="n">
        <f aca="false">SUMIFS(BOM!$I$2:$I$400,BOM!$B$2:$B$400,$A35,BOM!$E$2:$E$400,C$25)</f>
        <v>0</v>
      </c>
      <c r="D35" s="72" t="n">
        <f aca="false">SUMIFS(BOM!$I$2:$I$400,BOM!$B$2:$B$400,$A35,BOM!$E$2:$E$400,D$25)</f>
        <v>0.941176470588235</v>
      </c>
      <c r="E35" s="72" t="n">
        <f aca="false">SUMIFS(BOM!$I$2:$I$400,BOM!$B$2:$B$400,$A35,BOM!$E$2:$E$400,E$25)</f>
        <v>0.195652173913043</v>
      </c>
      <c r="F35" s="72" t="n">
        <f aca="false">SUMIFS(BOM!$I$2:$I$400,BOM!$B$2:$B$400,$A35,BOM!$E$2:$E$400,F$25)</f>
        <v>0.122448979591837</v>
      </c>
      <c r="G35" s="72" t="n">
        <f aca="false">SUMIFS(BOM!$I$2:$I$400,BOM!$B$2:$B$400,$A35,BOM!$E$2:$E$400,G$25)</f>
        <v>0</v>
      </c>
      <c r="H35" s="72" t="n">
        <f aca="false">SUMIFS(BOM!$I$2:$I$400,BOM!$B$2:$B$400,$A35,BOM!$E$2:$E$400,H$25)</f>
        <v>0.391752577319588</v>
      </c>
      <c r="I35" s="72" t="n">
        <f aca="false">SUMIFS(BOM!$I$2:$I$400,BOM!$B$2:$B$400,$A35,BOM!$E$2:$E$400,I$25)</f>
        <v>0</v>
      </c>
      <c r="J35" s="72" t="n">
        <f aca="false">SUMIFS(BOM!$I$2:$I$400,BOM!$B$2:$B$400,$A35,BOM!$E$2:$E$400,J$25)</f>
        <v>0</v>
      </c>
      <c r="K35" s="72" t="n">
        <f aca="false">SUMIFS(BOM!$I$2:$I$400,BOM!$B$2:$B$400,$A35,BOM!$E$2:$E$400,K$25)</f>
        <v>0.025</v>
      </c>
      <c r="L35" s="72" t="n">
        <f aca="false">SUMIFS(BOM!$I$2:$I$400,BOM!$B$2:$B$400,$A35,BOM!$E$2:$E$400,L$25)</f>
        <v>0.463917525773196</v>
      </c>
      <c r="M35" s="73" t="n">
        <f aca="false">SUM(C35:L35)</f>
        <v>2.1399477271859</v>
      </c>
      <c r="N35" s="32" t="n">
        <f aca="false">IF(M35=0,0,(M35-M15)/M35)</f>
        <v>0.0887627883488943</v>
      </c>
    </row>
    <row r="36" customFormat="false" ht="15" hidden="false" customHeight="false" outlineLevel="0" collapsed="false">
      <c r="A36" s="6" t="s">
        <v>233</v>
      </c>
      <c r="B36" s="43" t="str">
        <f aca="false">INDEX(Products!$B$2:$B$16,MATCH($A36,Products!$A$2:$A$16,0))</f>
        <v>Sandwich Maker 750 W</v>
      </c>
      <c r="C36" s="72" t="n">
        <f aca="false">SUMIFS(BOM!$I$2:$I$400,BOM!$B$2:$B$400,$A36,BOM!$E$2:$E$400,C$25)</f>
        <v>0</v>
      </c>
      <c r="D36" s="72" t="n">
        <f aca="false">SUMIFS(BOM!$I$2:$I$400,BOM!$B$2:$B$400,$A36,BOM!$E$2:$E$400,D$25)</f>
        <v>0.411764705882353</v>
      </c>
      <c r="E36" s="72" t="n">
        <f aca="false">SUMIFS(BOM!$I$2:$I$400,BOM!$B$2:$B$400,$A36,BOM!$E$2:$E$400,E$25)</f>
        <v>0.597826086956522</v>
      </c>
      <c r="F36" s="72" t="n">
        <f aca="false">SUMIFS(BOM!$I$2:$I$400,BOM!$B$2:$B$400,$A36,BOM!$E$2:$E$400,F$25)</f>
        <v>0</v>
      </c>
      <c r="G36" s="72" t="n">
        <f aca="false">SUMIFS(BOM!$I$2:$I$400,BOM!$B$2:$B$400,$A36,BOM!$E$2:$E$400,G$25)</f>
        <v>0</v>
      </c>
      <c r="H36" s="72" t="n">
        <f aca="false">SUMIFS(BOM!$I$2:$I$400,BOM!$B$2:$B$400,$A36,BOM!$E$2:$E$400,H$25)</f>
        <v>0.288659793814433</v>
      </c>
      <c r="I36" s="72" t="n">
        <f aca="false">SUMIFS(BOM!$I$2:$I$400,BOM!$B$2:$B$400,$A36,BOM!$E$2:$E$400,I$25)</f>
        <v>0</v>
      </c>
      <c r="J36" s="72" t="n">
        <f aca="false">SUMIFS(BOM!$I$2:$I$400,BOM!$B$2:$B$400,$A36,BOM!$E$2:$E$400,J$25)</f>
        <v>0.0270833333333333</v>
      </c>
      <c r="K36" s="72" t="n">
        <f aca="false">SUMIFS(BOM!$I$2:$I$400,BOM!$B$2:$B$400,$A36,BOM!$E$2:$E$400,K$25)</f>
        <v>0</v>
      </c>
      <c r="L36" s="72" t="n">
        <f aca="false">SUMIFS(BOM!$I$2:$I$400,BOM!$B$2:$B$400,$A36,BOM!$E$2:$E$400,L$25)</f>
        <v>0.34020618556701</v>
      </c>
      <c r="M36" s="73" t="n">
        <f aca="false">SUM(C36:L36)</f>
        <v>1.66554010555365</v>
      </c>
      <c r="N36" s="32" t="n">
        <f aca="false">IF(M36=0,0,(M36-M16)/M36)</f>
        <v>0.0777766354119645</v>
      </c>
    </row>
    <row r="37" customFormat="false" ht="15" hidden="false" customHeight="false" outlineLevel="0" collapsed="false">
      <c r="A37" s="6" t="s">
        <v>237</v>
      </c>
      <c r="B37" s="43" t="str">
        <f aca="false">INDEX(Products!$B$2:$B$16,MATCH($A37,Products!$A$2:$A$16,0))</f>
        <v>Fan Room Heater 2000 W</v>
      </c>
      <c r="C37" s="72" t="n">
        <f aca="false">SUMIFS(BOM!$I$2:$I$400,BOM!$B$2:$B$400,$A37,BOM!$E$2:$E$400,C$25)</f>
        <v>0.128571428571429</v>
      </c>
      <c r="D37" s="72" t="n">
        <f aca="false">SUMIFS(BOM!$I$2:$I$400,BOM!$B$2:$B$400,$A37,BOM!$E$2:$E$400,D$25)</f>
        <v>1.23529411764706</v>
      </c>
      <c r="E37" s="72" t="n">
        <f aca="false">SUMIFS(BOM!$I$2:$I$400,BOM!$B$2:$B$400,$A37,BOM!$E$2:$E$400,E$25)</f>
        <v>0.130434782608696</v>
      </c>
      <c r="F37" s="72" t="n">
        <f aca="false">SUMIFS(BOM!$I$2:$I$400,BOM!$B$2:$B$400,$A37,BOM!$E$2:$E$400,F$25)</f>
        <v>0.0510204081632653</v>
      </c>
      <c r="G37" s="72" t="n">
        <f aca="false">SUMIFS(BOM!$I$2:$I$400,BOM!$B$2:$B$400,$A37,BOM!$E$2:$E$400,G$25)</f>
        <v>0.206185567010309</v>
      </c>
      <c r="H37" s="72" t="n">
        <f aca="false">SUMIFS(BOM!$I$2:$I$400,BOM!$B$2:$B$400,$A37,BOM!$E$2:$E$400,H$25)</f>
        <v>0.43298969072165</v>
      </c>
      <c r="I37" s="72" t="n">
        <f aca="false">SUMIFS(BOM!$I$2:$I$400,BOM!$B$2:$B$400,$A37,BOM!$E$2:$E$400,I$25)</f>
        <v>0</v>
      </c>
      <c r="J37" s="72" t="n">
        <f aca="false">SUMIFS(BOM!$I$2:$I$400,BOM!$B$2:$B$400,$A37,BOM!$E$2:$E$400,J$25)</f>
        <v>0.0520833333333333</v>
      </c>
      <c r="K37" s="72" t="n">
        <f aca="false">SUMIFS(BOM!$I$2:$I$400,BOM!$B$2:$B$400,$A37,BOM!$E$2:$E$400,K$25)</f>
        <v>0.05</v>
      </c>
      <c r="L37" s="72" t="n">
        <f aca="false">SUMIFS(BOM!$I$2:$I$400,BOM!$B$2:$B$400,$A37,BOM!$E$2:$E$400,L$25)</f>
        <v>0.567010309278351</v>
      </c>
      <c r="M37" s="73" t="n">
        <f aca="false">SUM(C37:L37)</f>
        <v>2.85358963733409</v>
      </c>
      <c r="N37" s="32" t="n">
        <f aca="false">IF(M37=0,0,(M37-M17)/M37)</f>
        <v>0.0993799646675998</v>
      </c>
    </row>
    <row r="38" customFormat="false" ht="15" hidden="false" customHeight="false" outlineLevel="0" collapsed="false">
      <c r="A38" s="6" t="s">
        <v>243</v>
      </c>
      <c r="B38" s="43" t="str">
        <f aca="false">INDEX(Products!$B$2:$B$16,MATCH($A38,Products!$A$2:$A$16,0))</f>
        <v>Immersion Water Heater Rod 1500 W</v>
      </c>
      <c r="C38" s="72" t="n">
        <f aca="false">SUMIFS(BOM!$I$2:$I$400,BOM!$B$2:$B$400,$A38,BOM!$E$2:$E$400,C$25)</f>
        <v>0</v>
      </c>
      <c r="D38" s="72" t="n">
        <f aca="false">SUMIFS(BOM!$I$2:$I$400,BOM!$B$2:$B$400,$A38,BOM!$E$2:$E$400,D$25)</f>
        <v>0</v>
      </c>
      <c r="E38" s="72" t="n">
        <f aca="false">SUMIFS(BOM!$I$2:$I$400,BOM!$B$2:$B$400,$A38,BOM!$E$2:$E$400,E$25)</f>
        <v>0</v>
      </c>
      <c r="F38" s="72" t="n">
        <f aca="false">SUMIFS(BOM!$I$2:$I$400,BOM!$B$2:$B$400,$A38,BOM!$E$2:$E$400,F$25)</f>
        <v>0</v>
      </c>
      <c r="G38" s="72" t="n">
        <f aca="false">SUMIFS(BOM!$I$2:$I$400,BOM!$B$2:$B$400,$A38,BOM!$E$2:$E$400,G$25)</f>
        <v>0.0618556701030928</v>
      </c>
      <c r="H38" s="72" t="n">
        <f aca="false">SUMIFS(BOM!$I$2:$I$400,BOM!$B$2:$B$400,$A38,BOM!$E$2:$E$400,H$25)</f>
        <v>0</v>
      </c>
      <c r="I38" s="72" t="n">
        <f aca="false">SUMIFS(BOM!$I$2:$I$400,BOM!$B$2:$B$400,$A38,BOM!$E$2:$E$400,I$25)</f>
        <v>0.0853658536585366</v>
      </c>
      <c r="J38" s="72" t="n">
        <f aca="false">SUMIFS(BOM!$I$2:$I$400,BOM!$B$2:$B$400,$A38,BOM!$E$2:$E$400,J$25)</f>
        <v>0.03125</v>
      </c>
      <c r="K38" s="72" t="n">
        <f aca="false">SUMIFS(BOM!$I$2:$I$400,BOM!$B$2:$B$400,$A38,BOM!$E$2:$E$400,K$25)</f>
        <v>0</v>
      </c>
      <c r="L38" s="72" t="n">
        <f aca="false">SUMIFS(BOM!$I$2:$I$400,BOM!$B$2:$B$400,$A38,BOM!$E$2:$E$400,L$25)</f>
        <v>0.123711340206186</v>
      </c>
      <c r="M38" s="73" t="n">
        <f aca="false">SUM(C38:L38)</f>
        <v>0.302182863967815</v>
      </c>
      <c r="N38" s="32" t="n">
        <f aca="false">IF(M38=0,0,(M38-M18)/M38)</f>
        <v>0.0734087422315833</v>
      </c>
    </row>
    <row r="39" customFormat="false" ht="15" hidden="false" customHeight="false" outlineLevel="0" collapsed="false">
      <c r="A39" s="6" t="s">
        <v>247</v>
      </c>
      <c r="B39" s="43" t="str">
        <f aca="false">INDEX(Products!$B$2:$B$16,MATCH($A39,Products!$A$2:$A$16,0))</f>
        <v>Dry Iron 1000 W</v>
      </c>
      <c r="C39" s="72" t="n">
        <f aca="false">SUMIFS(BOM!$I$2:$I$400,BOM!$B$2:$B$400,$A39,BOM!$E$2:$E$400,C$25)</f>
        <v>0</v>
      </c>
      <c r="D39" s="72" t="n">
        <f aca="false">SUMIFS(BOM!$I$2:$I$400,BOM!$B$2:$B$400,$A39,BOM!$E$2:$E$400,D$25)</f>
        <v>0.0941176470588235</v>
      </c>
      <c r="E39" s="72" t="n">
        <f aca="false">SUMIFS(BOM!$I$2:$I$400,BOM!$B$2:$B$400,$A39,BOM!$E$2:$E$400,E$25)</f>
        <v>0.380434782608696</v>
      </c>
      <c r="F39" s="72" t="n">
        <f aca="false">SUMIFS(BOM!$I$2:$I$400,BOM!$B$2:$B$400,$A39,BOM!$E$2:$E$400,F$25)</f>
        <v>0</v>
      </c>
      <c r="G39" s="72" t="n">
        <f aca="false">SUMIFS(BOM!$I$2:$I$400,BOM!$B$2:$B$400,$A39,BOM!$E$2:$E$400,G$25)</f>
        <v>0.0824742268041237</v>
      </c>
      <c r="H39" s="72" t="n">
        <f aca="false">SUMIFS(BOM!$I$2:$I$400,BOM!$B$2:$B$400,$A39,BOM!$E$2:$E$400,H$25)</f>
        <v>0.22680412371134</v>
      </c>
      <c r="I39" s="72" t="n">
        <f aca="false">SUMIFS(BOM!$I$2:$I$400,BOM!$B$2:$B$400,$A39,BOM!$E$2:$E$400,I$25)</f>
        <v>0</v>
      </c>
      <c r="J39" s="72" t="n">
        <f aca="false">SUMIFS(BOM!$I$2:$I$400,BOM!$B$2:$B$400,$A39,BOM!$E$2:$E$400,J$25)</f>
        <v>0.0229166666666667</v>
      </c>
      <c r="K39" s="72" t="n">
        <f aca="false">SUMIFS(BOM!$I$2:$I$400,BOM!$B$2:$B$400,$A39,BOM!$E$2:$E$400,K$25)</f>
        <v>0</v>
      </c>
      <c r="L39" s="72" t="n">
        <f aca="false">SUMIFS(BOM!$I$2:$I$400,BOM!$B$2:$B$400,$A39,BOM!$E$2:$E$400,L$25)</f>
        <v>0.309278350515464</v>
      </c>
      <c r="M39" s="73" t="n">
        <f aca="false">SUM(C39:L39)</f>
        <v>1.11602579736511</v>
      </c>
      <c r="N39" s="32" t="n">
        <f aca="false">IF(M39=0,0,(M39-M19)/M39)</f>
        <v>0.0573694600216908</v>
      </c>
    </row>
    <row r="40" customFormat="false" ht="15" hidden="false" customHeight="false" outlineLevel="0" collapsed="false">
      <c r="A40" s="6" t="s">
        <v>251</v>
      </c>
      <c r="B40" s="43" t="str">
        <f aca="false">INDEX(Products!$B$2:$B$16,MATCH($A40,Products!$A$2:$A$16,0))</f>
        <v>Water Pump 0.5 HP Monoblock</v>
      </c>
      <c r="C40" s="72" t="n">
        <f aca="false">SUMIFS(BOM!$I$2:$I$400,BOM!$B$2:$B$400,$A40,BOM!$E$2:$E$400,C$25)</f>
        <v>2.85714285714286</v>
      </c>
      <c r="D40" s="72" t="n">
        <f aca="false">SUMIFS(BOM!$I$2:$I$400,BOM!$B$2:$B$400,$A40,BOM!$E$2:$E$400,D$25)</f>
        <v>0.823529411764706</v>
      </c>
      <c r="E40" s="72" t="n">
        <f aca="false">SUMIFS(BOM!$I$2:$I$400,BOM!$B$2:$B$400,$A40,BOM!$E$2:$E$400,E$25)</f>
        <v>1.41304347826087</v>
      </c>
      <c r="F40" s="72" t="n">
        <f aca="false">SUMIFS(BOM!$I$2:$I$400,BOM!$B$2:$B$400,$A40,BOM!$E$2:$E$400,F$25)</f>
        <v>0.816326530612245</v>
      </c>
      <c r="G40" s="72" t="n">
        <f aca="false">SUMIFS(BOM!$I$2:$I$400,BOM!$B$2:$B$400,$A40,BOM!$E$2:$E$400,G$25)</f>
        <v>0.288659793814433</v>
      </c>
      <c r="H40" s="72" t="n">
        <f aca="false">SUMIFS(BOM!$I$2:$I$400,BOM!$B$2:$B$400,$A40,BOM!$E$2:$E$400,H$25)</f>
        <v>0</v>
      </c>
      <c r="I40" s="72" t="n">
        <f aca="false">SUMIFS(BOM!$I$2:$I$400,BOM!$B$2:$B$400,$A40,BOM!$E$2:$E$400,I$25)</f>
        <v>0.219512195121951</v>
      </c>
      <c r="J40" s="72" t="n">
        <f aca="false">SUMIFS(BOM!$I$2:$I$400,BOM!$B$2:$B$400,$A40,BOM!$E$2:$E$400,J$25)</f>
        <v>0</v>
      </c>
      <c r="K40" s="72" t="n">
        <f aca="false">SUMIFS(BOM!$I$2:$I$400,BOM!$B$2:$B$400,$A40,BOM!$E$2:$E$400,K$25)</f>
        <v>0.075</v>
      </c>
      <c r="L40" s="72" t="n">
        <f aca="false">SUMIFS(BOM!$I$2:$I$400,BOM!$B$2:$B$400,$A40,BOM!$E$2:$E$400,L$25)</f>
        <v>0.876288659793814</v>
      </c>
      <c r="M40" s="73" t="n">
        <f aca="false">SUM(C40:L40)</f>
        <v>7.36950292651088</v>
      </c>
      <c r="N40" s="32" t="n">
        <f aca="false">IF(M40=0,0,(M40-M20)/M40)</f>
        <v>0.162765784676713</v>
      </c>
    </row>
    <row r="42" customFormat="false" ht="19.5" hidden="false" customHeight="true" outlineLevel="0" collapsed="false">
      <c r="A42" s="3" t="s">
        <v>662</v>
      </c>
      <c r="B42" s="4"/>
      <c r="C42" s="4"/>
      <c r="D42" s="4"/>
      <c r="E42" s="4"/>
      <c r="F42" s="4"/>
      <c r="G42" s="4"/>
      <c r="H42" s="4"/>
      <c r="I42" s="4"/>
      <c r="J42" s="4"/>
      <c r="K42" s="4"/>
      <c r="L42" s="4"/>
      <c r="M42" s="4"/>
      <c r="N42" s="4"/>
    </row>
    <row r="43" customFormat="false" ht="25.5" hidden="false" customHeight="true" outlineLevel="0" collapsed="false">
      <c r="A43" s="63"/>
      <c r="B43" s="63"/>
      <c r="C43" s="71" t="str">
        <f aca="false">RawMaterials!$C$2</f>
        <v>CRNGO steel coil</v>
      </c>
      <c r="D43" s="71" t="str">
        <f aca="false">RawMaterials!$C$3</f>
        <v>CRCA steel sheet</v>
      </c>
      <c r="E43" s="71" t="str">
        <f aca="false">RawMaterials!$C$4</f>
        <v>Aluminium ADC12</v>
      </c>
      <c r="F43" s="71" t="str">
        <f aca="false">RawMaterials!$C$5</f>
        <v>Copper winding wire</v>
      </c>
      <c r="G43" s="71" t="str">
        <f aca="false">RawMaterials!$C$6</f>
        <v>PP granules</v>
      </c>
      <c r="H43" s="71" t="str">
        <f aca="false">RawMaterials!$C$7</f>
        <v>ABS granules</v>
      </c>
      <c r="I43" s="71" t="str">
        <f aca="false">RawMaterials!$C$8</f>
        <v>SS304 sheet</v>
      </c>
      <c r="J43" s="71" t="str">
        <f aca="false">RawMaterials!$C$9</f>
        <v>Nichrome wire</v>
      </c>
      <c r="K43" s="71" t="str">
        <f aca="false">RawMaterials!$C$10</f>
        <v>Powder coating</v>
      </c>
      <c r="L43" s="71" t="str">
        <f aca="false">RawMaterials!$C$11</f>
        <v>Corrugated cartons</v>
      </c>
    </row>
    <row r="44" customFormat="false" ht="30" hidden="false" customHeight="true" outlineLevel="0" collapsed="false">
      <c r="A44" s="8" t="s">
        <v>172</v>
      </c>
      <c r="B44" s="8" t="s">
        <v>118</v>
      </c>
      <c r="C44" s="8" t="s">
        <v>277</v>
      </c>
      <c r="D44" s="8" t="s">
        <v>286</v>
      </c>
      <c r="E44" s="8" t="s">
        <v>292</v>
      </c>
      <c r="F44" s="8" t="s">
        <v>300</v>
      </c>
      <c r="G44" s="8" t="s">
        <v>306</v>
      </c>
      <c r="H44" s="8" t="s">
        <v>313</v>
      </c>
      <c r="I44" s="8" t="s">
        <v>319</v>
      </c>
      <c r="J44" s="8" t="s">
        <v>326</v>
      </c>
      <c r="K44" s="8" t="s">
        <v>333</v>
      </c>
      <c r="L44" s="8" t="s">
        <v>340</v>
      </c>
      <c r="M44" s="8" t="s">
        <v>663</v>
      </c>
      <c r="N44" s="8" t="s">
        <v>664</v>
      </c>
    </row>
    <row r="45" customFormat="false" ht="15" hidden="false" customHeight="false" outlineLevel="0" collapsed="false">
      <c r="A45" s="6" t="s">
        <v>191</v>
      </c>
      <c r="B45" s="43" t="str">
        <f aca="false">INDEX(Products!$B$2:$B$16,MATCH($A45,Products!$A$2:$A$16,0))</f>
        <v>Ceiling Fan 1200 mm - Induction</v>
      </c>
      <c r="C45" s="69" t="n">
        <f aca="false">SUMIFS(BOM!$K$2:$K$400,BOM!$B$2:$B$400,$A45,BOM!$E$2:$E$400,C$44)</f>
        <v>113.414285714286</v>
      </c>
      <c r="D45" s="69" t="n">
        <f aca="false">SUMIFS(BOM!$K$2:$K$400,BOM!$B$2:$B$400,$A45,BOM!$E$2:$E$400,D$44)</f>
        <v>164.664705882353</v>
      </c>
      <c r="E45" s="69" t="n">
        <f aca="false">SUMIFS(BOM!$K$2:$K$400,BOM!$B$2:$B$400,$A45,BOM!$E$2:$E$400,E$44)</f>
        <v>142.119565217391</v>
      </c>
      <c r="F45" s="69" t="n">
        <f aca="false">SUMIFS(BOM!$K$2:$K$400,BOM!$B$2:$B$400,$A45,BOM!$E$2:$E$400,F$44)</f>
        <v>572.678571428571</v>
      </c>
      <c r="G45" s="69" t="n">
        <f aca="false">SUMIFS(BOM!$K$2:$K$400,BOM!$B$2:$B$400,$A45,BOM!$E$2:$E$400,G$44)</f>
        <v>0</v>
      </c>
      <c r="H45" s="69" t="n">
        <f aca="false">SUMIFS(BOM!$K$2:$K$400,BOM!$B$2:$B$400,$A45,BOM!$E$2:$E$400,H$44)</f>
        <v>0</v>
      </c>
      <c r="I45" s="69" t="n">
        <f aca="false">SUMIFS(BOM!$K$2:$K$400,BOM!$B$2:$B$400,$A45,BOM!$E$2:$E$400,I$44)</f>
        <v>0</v>
      </c>
      <c r="J45" s="69" t="n">
        <f aca="false">SUMIFS(BOM!$K$2:$K$400,BOM!$B$2:$B$400,$A45,BOM!$E$2:$E$400,J$44)</f>
        <v>0</v>
      </c>
      <c r="K45" s="69" t="n">
        <f aca="false">SUMIFS(BOM!$K$2:$K$400,BOM!$B$2:$B$400,$A45,BOM!$E$2:$E$400,K$44)</f>
        <v>34.5</v>
      </c>
      <c r="L45" s="69" t="n">
        <f aca="false">SUMIFS(BOM!$K$2:$K$400,BOM!$B$2:$B$400,$A45,BOM!$E$2:$E$400,L$44)</f>
        <v>40.2061855670103</v>
      </c>
      <c r="M45" s="70" t="n">
        <f aca="false">SUM(C45:L45)</f>
        <v>1067.58331380961</v>
      </c>
      <c r="N45" s="74" t="str">
        <f aca="false">INDEX($C$43:$L$43,MATCH(MAX(C45:L45),C45:L45,0))</f>
        <v>Copper winding wire</v>
      </c>
    </row>
    <row r="46" customFormat="false" ht="15" hidden="false" customHeight="false" outlineLevel="0" collapsed="false">
      <c r="A46" s="6" t="s">
        <v>197</v>
      </c>
      <c r="B46" s="43" t="str">
        <f aca="false">INDEX(Products!$B$2:$B$16,MATCH($A46,Products!$A$2:$A$16,0))</f>
        <v>Ceiling Fan 1200 mm - BLDC</v>
      </c>
      <c r="C46" s="69" t="n">
        <f aca="false">SUMIFS(BOM!$K$2:$K$400,BOM!$B$2:$B$400,$A46,BOM!$E$2:$E$400,C$44)</f>
        <v>82.7257142857143</v>
      </c>
      <c r="D46" s="69" t="n">
        <f aca="false">SUMIFS(BOM!$K$2:$K$400,BOM!$B$2:$B$400,$A46,BOM!$E$2:$E$400,D$44)</f>
        <v>145.061764705882</v>
      </c>
      <c r="E46" s="69" t="n">
        <f aca="false">SUMIFS(BOM!$K$2:$K$400,BOM!$B$2:$B$400,$A46,BOM!$E$2:$E$400,E$44)</f>
        <v>127.907608695652</v>
      </c>
      <c r="F46" s="69" t="n">
        <f aca="false">SUMIFS(BOM!$K$2:$K$400,BOM!$B$2:$B$400,$A46,BOM!$E$2:$E$400,F$44)</f>
        <v>449.961734693878</v>
      </c>
      <c r="G46" s="69" t="n">
        <f aca="false">SUMIFS(BOM!$K$2:$K$400,BOM!$B$2:$B$400,$A46,BOM!$E$2:$E$400,G$44)</f>
        <v>0</v>
      </c>
      <c r="H46" s="69" t="n">
        <f aca="false">SUMIFS(BOM!$K$2:$K$400,BOM!$B$2:$B$400,$A46,BOM!$E$2:$E$400,H$44)</f>
        <v>0</v>
      </c>
      <c r="I46" s="69" t="n">
        <f aca="false">SUMIFS(BOM!$K$2:$K$400,BOM!$B$2:$B$400,$A46,BOM!$E$2:$E$400,I$44)</f>
        <v>0</v>
      </c>
      <c r="J46" s="69" t="n">
        <f aca="false">SUMIFS(BOM!$K$2:$K$400,BOM!$B$2:$B$400,$A46,BOM!$E$2:$E$400,J$44)</f>
        <v>0</v>
      </c>
      <c r="K46" s="69" t="n">
        <f aca="false">SUMIFS(BOM!$K$2:$K$400,BOM!$B$2:$B$400,$A46,BOM!$E$2:$E$400,K$44)</f>
        <v>30.1875</v>
      </c>
      <c r="L46" s="69" t="n">
        <f aca="false">SUMIFS(BOM!$K$2:$K$400,BOM!$B$2:$B$400,$A46,BOM!$E$2:$E$400,L$44)</f>
        <v>38.5979381443299</v>
      </c>
      <c r="M46" s="70" t="n">
        <f aca="false">SUM(C46:L46)</f>
        <v>874.442260525456</v>
      </c>
      <c r="N46" s="74" t="str">
        <f aca="false">INDEX($C$43:$L$43,MATCH(MAX(C46:L46),C46:L46,0))</f>
        <v>Copper winding wire</v>
      </c>
    </row>
    <row r="47" customFormat="false" ht="15" hidden="false" customHeight="false" outlineLevel="0" collapsed="false">
      <c r="A47" s="6" t="s">
        <v>201</v>
      </c>
      <c r="B47" s="43" t="str">
        <f aca="false">INDEX(Products!$B$2:$B$16,MATCH($A47,Products!$A$2:$A$16,0))</f>
        <v>Pedestal Fan 400 mm</v>
      </c>
      <c r="C47" s="69" t="n">
        <f aca="false">SUMIFS(BOM!$K$2:$K$400,BOM!$B$2:$B$400,$A47,BOM!$E$2:$E$400,C$44)</f>
        <v>50.7028571428572</v>
      </c>
      <c r="D47" s="69" t="n">
        <f aca="false">SUMIFS(BOM!$K$2:$K$400,BOM!$B$2:$B$400,$A47,BOM!$E$2:$E$400,D$44)</f>
        <v>121.538235294118</v>
      </c>
      <c r="E47" s="69" t="n">
        <f aca="false">SUMIFS(BOM!$K$2:$K$400,BOM!$B$2:$B$400,$A47,BOM!$E$2:$E$400,E$44)</f>
        <v>90.9565217391304</v>
      </c>
      <c r="F47" s="69" t="n">
        <f aca="false">SUMIFS(BOM!$K$2:$K$400,BOM!$B$2:$B$400,$A47,BOM!$E$2:$E$400,F$44)</f>
        <v>327.244897959184</v>
      </c>
      <c r="G47" s="69" t="n">
        <f aca="false">SUMIFS(BOM!$K$2:$K$400,BOM!$B$2:$B$400,$A47,BOM!$E$2:$E$400,G$44)</f>
        <v>33.0927835051546</v>
      </c>
      <c r="H47" s="69" t="n">
        <f aca="false">SUMIFS(BOM!$K$2:$K$400,BOM!$B$2:$B$400,$A47,BOM!$E$2:$E$400,H$44)</f>
        <v>64.3298969072165</v>
      </c>
      <c r="I47" s="69" t="n">
        <f aca="false">SUMIFS(BOM!$K$2:$K$400,BOM!$B$2:$B$400,$A47,BOM!$E$2:$E$400,I$44)</f>
        <v>0</v>
      </c>
      <c r="J47" s="69" t="n">
        <f aca="false">SUMIFS(BOM!$K$2:$K$400,BOM!$B$2:$B$400,$A47,BOM!$E$2:$E$400,J$44)</f>
        <v>0</v>
      </c>
      <c r="K47" s="69" t="n">
        <f aca="false">SUMIFS(BOM!$K$2:$K$400,BOM!$B$2:$B$400,$A47,BOM!$E$2:$E$400,K$44)</f>
        <v>30.1875</v>
      </c>
      <c r="L47" s="69" t="n">
        <f aca="false">SUMIFS(BOM!$K$2:$K$400,BOM!$B$2:$B$400,$A47,BOM!$E$2:$E$400,L$44)</f>
        <v>64.3298969072165</v>
      </c>
      <c r="M47" s="70" t="n">
        <f aca="false">SUM(C47:L47)</f>
        <v>782.382589454877</v>
      </c>
      <c r="N47" s="74" t="str">
        <f aca="false">INDEX($C$43:$L$43,MATCH(MAX(C47:L47),C47:L47,0))</f>
        <v>Copper winding wire</v>
      </c>
    </row>
    <row r="48" customFormat="false" ht="15" hidden="false" customHeight="false" outlineLevel="0" collapsed="false">
      <c r="A48" s="6" t="s">
        <v>205</v>
      </c>
      <c r="B48" s="43" t="str">
        <f aca="false">INDEX(Products!$B$2:$B$16,MATCH($A48,Products!$A$2:$A$16,0))</f>
        <v>Table Fan 400 mm</v>
      </c>
      <c r="C48" s="69" t="n">
        <f aca="false">SUMIFS(BOM!$K$2:$K$400,BOM!$B$2:$B$400,$A48,BOM!$E$2:$E$400,C$44)</f>
        <v>40.0285714285714</v>
      </c>
      <c r="D48" s="69" t="n">
        <f aca="false">SUMIFS(BOM!$K$2:$K$400,BOM!$B$2:$B$400,$A48,BOM!$E$2:$E$400,D$44)</f>
        <v>58.8088235294118</v>
      </c>
      <c r="E48" s="69" t="n">
        <f aca="false">SUMIFS(BOM!$K$2:$K$400,BOM!$B$2:$B$400,$A48,BOM!$E$2:$E$400,E$44)</f>
        <v>56.8478260869565</v>
      </c>
      <c r="F48" s="69" t="n">
        <f aca="false">SUMIFS(BOM!$K$2:$K$400,BOM!$B$2:$B$400,$A48,BOM!$E$2:$E$400,F$44)</f>
        <v>259.06887755102</v>
      </c>
      <c r="G48" s="69" t="n">
        <f aca="false">SUMIFS(BOM!$K$2:$K$400,BOM!$B$2:$B$400,$A48,BOM!$E$2:$E$400,G$44)</f>
        <v>27.5773195876289</v>
      </c>
      <c r="H48" s="69" t="n">
        <f aca="false">SUMIFS(BOM!$K$2:$K$400,BOM!$B$2:$B$400,$A48,BOM!$E$2:$E$400,H$44)</f>
        <v>67.5463917525773</v>
      </c>
      <c r="I48" s="69" t="n">
        <f aca="false">SUMIFS(BOM!$K$2:$K$400,BOM!$B$2:$B$400,$A48,BOM!$E$2:$E$400,I$44)</f>
        <v>0</v>
      </c>
      <c r="J48" s="69" t="n">
        <f aca="false">SUMIFS(BOM!$K$2:$K$400,BOM!$B$2:$B$400,$A48,BOM!$E$2:$E$400,J$44)</f>
        <v>0</v>
      </c>
      <c r="K48" s="69" t="n">
        <f aca="false">SUMIFS(BOM!$K$2:$K$400,BOM!$B$2:$B$400,$A48,BOM!$E$2:$E$400,K$44)</f>
        <v>12.9375</v>
      </c>
      <c r="L48" s="69" t="n">
        <f aca="false">SUMIFS(BOM!$K$2:$K$400,BOM!$B$2:$B$400,$A48,BOM!$E$2:$E$400,L$44)</f>
        <v>32.1649484536083</v>
      </c>
      <c r="M48" s="70" t="n">
        <f aca="false">SUM(C48:L48)</f>
        <v>554.980258389775</v>
      </c>
      <c r="N48" s="74" t="str">
        <f aca="false">INDEX($C$43:$L$43,MATCH(MAX(C48:L48),C48:L48,0))</f>
        <v>Copper winding wire</v>
      </c>
    </row>
    <row r="49" customFormat="false" ht="15" hidden="false" customHeight="false" outlineLevel="0" collapsed="false">
      <c r="A49" s="6" t="s">
        <v>208</v>
      </c>
      <c r="B49" s="43" t="str">
        <f aca="false">INDEX(Products!$B$2:$B$16,MATCH($A49,Products!$A$2:$A$16,0))</f>
        <v>Exhaust Fan 230 mm</v>
      </c>
      <c r="C49" s="69" t="n">
        <f aca="false">SUMIFS(BOM!$K$2:$K$400,BOM!$B$2:$B$400,$A49,BOM!$E$2:$E$400,C$44)</f>
        <v>21.3485714285714</v>
      </c>
      <c r="D49" s="69" t="n">
        <f aca="false">SUMIFS(BOM!$K$2:$K$400,BOM!$B$2:$B$400,$A49,BOM!$E$2:$E$400,D$44)</f>
        <v>35.2852941176471</v>
      </c>
      <c r="E49" s="69" t="n">
        <f aca="false">SUMIFS(BOM!$K$2:$K$400,BOM!$B$2:$B$400,$A49,BOM!$E$2:$E$400,E$44)</f>
        <v>22.7391304347826</v>
      </c>
      <c r="F49" s="69" t="n">
        <f aca="false">SUMIFS(BOM!$K$2:$K$400,BOM!$B$2:$B$400,$A49,BOM!$E$2:$E$400,F$44)</f>
        <v>122.716836734694</v>
      </c>
      <c r="G49" s="69" t="n">
        <f aca="false">SUMIFS(BOM!$K$2:$K$400,BOM!$B$2:$B$400,$A49,BOM!$E$2:$E$400,G$44)</f>
        <v>22.0618556701031</v>
      </c>
      <c r="H49" s="69" t="n">
        <f aca="false">SUMIFS(BOM!$K$2:$K$400,BOM!$B$2:$B$400,$A49,BOM!$E$2:$E$400,H$44)</f>
        <v>61.1134020618557</v>
      </c>
      <c r="I49" s="69" t="n">
        <f aca="false">SUMIFS(BOM!$K$2:$K$400,BOM!$B$2:$B$400,$A49,BOM!$E$2:$E$400,I$44)</f>
        <v>0</v>
      </c>
      <c r="J49" s="69" t="n">
        <f aca="false">SUMIFS(BOM!$K$2:$K$400,BOM!$B$2:$B$400,$A49,BOM!$E$2:$E$400,J$44)</f>
        <v>0</v>
      </c>
      <c r="K49" s="69" t="n">
        <f aca="false">SUMIFS(BOM!$K$2:$K$400,BOM!$B$2:$B$400,$A49,BOM!$E$2:$E$400,K$44)</f>
        <v>8.625</v>
      </c>
      <c r="L49" s="69" t="n">
        <f aca="false">SUMIFS(BOM!$K$2:$K$400,BOM!$B$2:$B$400,$A49,BOM!$E$2:$E$400,L$44)</f>
        <v>21.4432989690722</v>
      </c>
      <c r="M49" s="70" t="n">
        <f aca="false">SUM(C49:L49)</f>
        <v>315.333389416726</v>
      </c>
      <c r="N49" s="74" t="str">
        <f aca="false">INDEX($C$43:$L$43,MATCH(MAX(C49:L49),C49:L49,0))</f>
        <v>Copper winding wire</v>
      </c>
    </row>
    <row r="50" customFormat="false" ht="15" hidden="false" customHeight="false" outlineLevel="0" collapsed="false">
      <c r="A50" s="6" t="s">
        <v>212</v>
      </c>
      <c r="B50" s="43" t="str">
        <f aca="false">INDEX(Products!$B$2:$B$16,MATCH($A50,Products!$A$2:$A$16,0))</f>
        <v>Personal Air Cooler 30 L</v>
      </c>
      <c r="C50" s="69" t="n">
        <f aca="false">SUMIFS(BOM!$K$2:$K$400,BOM!$B$2:$B$400,$A50,BOM!$E$2:$E$400,C$44)</f>
        <v>29.3542857142857</v>
      </c>
      <c r="D50" s="69" t="n">
        <f aca="false">SUMIFS(BOM!$K$2:$K$400,BOM!$B$2:$B$400,$A50,BOM!$E$2:$E$400,D$44)</f>
        <v>27.4441176470588</v>
      </c>
      <c r="E50" s="69" t="n">
        <f aca="false">SUMIFS(BOM!$K$2:$K$400,BOM!$B$2:$B$400,$A50,BOM!$E$2:$E$400,E$44)</f>
        <v>28.4239130434783</v>
      </c>
      <c r="F50" s="69" t="n">
        <f aca="false">SUMIFS(BOM!$K$2:$K$400,BOM!$B$2:$B$400,$A50,BOM!$E$2:$E$400,F$44)</f>
        <v>163.622448979592</v>
      </c>
      <c r="G50" s="69" t="n">
        <f aca="false">SUMIFS(BOM!$K$2:$K$400,BOM!$B$2:$B$400,$A50,BOM!$E$2:$E$400,G$44)</f>
        <v>507.422680412371</v>
      </c>
      <c r="H50" s="69" t="n">
        <f aca="false">SUMIFS(BOM!$K$2:$K$400,BOM!$B$2:$B$400,$A50,BOM!$E$2:$E$400,H$44)</f>
        <v>56.2886597938144</v>
      </c>
      <c r="I50" s="69" t="n">
        <f aca="false">SUMIFS(BOM!$K$2:$K$400,BOM!$B$2:$B$400,$A50,BOM!$E$2:$E$400,I$44)</f>
        <v>0</v>
      </c>
      <c r="J50" s="69" t="n">
        <f aca="false">SUMIFS(BOM!$K$2:$K$400,BOM!$B$2:$B$400,$A50,BOM!$E$2:$E$400,J$44)</f>
        <v>0</v>
      </c>
      <c r="K50" s="69" t="n">
        <f aca="false">SUMIFS(BOM!$K$2:$K$400,BOM!$B$2:$B$400,$A50,BOM!$E$2:$E$400,K$44)</f>
        <v>0</v>
      </c>
      <c r="L50" s="69" t="n">
        <f aca="false">SUMIFS(BOM!$K$2:$K$400,BOM!$B$2:$B$400,$A50,BOM!$E$2:$E$400,L$44)</f>
        <v>85.7731958762887</v>
      </c>
      <c r="M50" s="70" t="n">
        <f aca="false">SUM(C50:L50)</f>
        <v>898.329301466889</v>
      </c>
      <c r="N50" s="74" t="str">
        <f aca="false">INDEX($C$43:$L$43,MATCH(MAX(C50:L50),C50:L50,0))</f>
        <v>PP granules</v>
      </c>
    </row>
    <row r="51" customFormat="false" ht="15" hidden="false" customHeight="false" outlineLevel="0" collapsed="false">
      <c r="A51" s="6" t="s">
        <v>216</v>
      </c>
      <c r="B51" s="43" t="str">
        <f aca="false">INDEX(Products!$B$2:$B$16,MATCH($A51,Products!$A$2:$A$16,0))</f>
        <v>Mixer Grinder 500 W</v>
      </c>
      <c r="C51" s="69" t="n">
        <f aca="false">SUMIFS(BOM!$K$2:$K$400,BOM!$B$2:$B$400,$A51,BOM!$E$2:$E$400,C$44)</f>
        <v>60.0428571428571</v>
      </c>
      <c r="D51" s="69" t="n">
        <f aca="false">SUMIFS(BOM!$K$2:$K$400,BOM!$B$2:$B$400,$A51,BOM!$E$2:$E$400,D$44)</f>
        <v>9.40941176470588</v>
      </c>
      <c r="E51" s="69" t="n">
        <f aca="false">SUMIFS(BOM!$K$2:$K$400,BOM!$B$2:$B$400,$A51,BOM!$E$2:$E$400,E$44)</f>
        <v>99.4836956521739</v>
      </c>
      <c r="F51" s="69" t="n">
        <f aca="false">SUMIFS(BOM!$K$2:$K$400,BOM!$B$2:$B$400,$A51,BOM!$E$2:$E$400,F$44)</f>
        <v>299.974489795918</v>
      </c>
      <c r="G51" s="69" t="n">
        <f aca="false">SUMIFS(BOM!$K$2:$K$400,BOM!$B$2:$B$400,$A51,BOM!$E$2:$E$400,G$44)</f>
        <v>33.0927835051546</v>
      </c>
      <c r="H51" s="69" t="n">
        <f aca="false">SUMIFS(BOM!$K$2:$K$400,BOM!$B$2:$B$400,$A51,BOM!$E$2:$E$400,H$44)</f>
        <v>88.4536082474227</v>
      </c>
      <c r="I51" s="69" t="n">
        <f aca="false">SUMIFS(BOM!$K$2:$K$400,BOM!$B$2:$B$400,$A51,BOM!$E$2:$E$400,I$44)</f>
        <v>151.09756097561</v>
      </c>
      <c r="J51" s="69" t="n">
        <f aca="false">SUMIFS(BOM!$K$2:$K$400,BOM!$B$2:$B$400,$A51,BOM!$E$2:$E$400,J$44)</f>
        <v>0</v>
      </c>
      <c r="K51" s="69" t="n">
        <f aca="false">SUMIFS(BOM!$K$2:$K$400,BOM!$B$2:$B$400,$A51,BOM!$E$2:$E$400,K$44)</f>
        <v>0</v>
      </c>
      <c r="L51" s="69" t="n">
        <f aca="false">SUMIFS(BOM!$K$2:$K$400,BOM!$B$2:$B$400,$A51,BOM!$E$2:$E$400,L$44)</f>
        <v>29.4845360824742</v>
      </c>
      <c r="M51" s="70" t="n">
        <f aca="false">SUM(C51:L51)</f>
        <v>771.038943166317</v>
      </c>
      <c r="N51" s="74" t="str">
        <f aca="false">INDEX($C$43:$L$43,MATCH(MAX(C51:L51),C51:L51,0))</f>
        <v>Copper winding wire</v>
      </c>
    </row>
    <row r="52" customFormat="false" ht="15" hidden="false" customHeight="false" outlineLevel="0" collapsed="false">
      <c r="A52" s="6" t="s">
        <v>222</v>
      </c>
      <c r="B52" s="43" t="str">
        <f aca="false">INDEX(Products!$B$2:$B$16,MATCH($A52,Products!$A$2:$A$16,0))</f>
        <v>Mixer Grinder 750 W</v>
      </c>
      <c r="C52" s="69" t="n">
        <f aca="false">SUMIFS(BOM!$K$2:$K$400,BOM!$B$2:$B$400,$A52,BOM!$E$2:$E$400,C$44)</f>
        <v>82.7257142857143</v>
      </c>
      <c r="D52" s="69" t="n">
        <f aca="false">SUMIFS(BOM!$K$2:$K$400,BOM!$B$2:$B$400,$A52,BOM!$E$2:$E$400,D$44)</f>
        <v>11.7617647058824</v>
      </c>
      <c r="E52" s="69" t="n">
        <f aca="false">SUMIFS(BOM!$K$2:$K$400,BOM!$B$2:$B$400,$A52,BOM!$E$2:$E$400,E$44)</f>
        <v>136.434782608696</v>
      </c>
      <c r="F52" s="69" t="n">
        <f aca="false">SUMIFS(BOM!$K$2:$K$400,BOM!$B$2:$B$400,$A52,BOM!$E$2:$E$400,F$44)</f>
        <v>409.05612244898</v>
      </c>
      <c r="G52" s="69" t="n">
        <f aca="false">SUMIFS(BOM!$K$2:$K$400,BOM!$B$2:$B$400,$A52,BOM!$E$2:$E$400,G$44)</f>
        <v>37.5051546391753</v>
      </c>
      <c r="H52" s="69" t="n">
        <f aca="false">SUMIFS(BOM!$K$2:$K$400,BOM!$B$2:$B$400,$A52,BOM!$E$2:$E$400,H$44)</f>
        <v>99.7113402061856</v>
      </c>
      <c r="I52" s="69" t="n">
        <f aca="false">SUMIFS(BOM!$K$2:$K$400,BOM!$B$2:$B$400,$A52,BOM!$E$2:$E$400,I$44)</f>
        <v>196.426829268293</v>
      </c>
      <c r="J52" s="69" t="n">
        <f aca="false">SUMIFS(BOM!$K$2:$K$400,BOM!$B$2:$B$400,$A52,BOM!$E$2:$E$400,J$44)</f>
        <v>0</v>
      </c>
      <c r="K52" s="69" t="n">
        <f aca="false">SUMIFS(BOM!$K$2:$K$400,BOM!$B$2:$B$400,$A52,BOM!$E$2:$E$400,K$44)</f>
        <v>0</v>
      </c>
      <c r="L52" s="69" t="n">
        <f aca="false">SUMIFS(BOM!$K$2:$K$400,BOM!$B$2:$B$400,$A52,BOM!$E$2:$E$400,L$44)</f>
        <v>33.2371134020619</v>
      </c>
      <c r="M52" s="70" t="n">
        <f aca="false">SUM(C52:L52)</f>
        <v>1006.85882156499</v>
      </c>
      <c r="N52" s="74" t="str">
        <f aca="false">INDEX($C$43:$L$43,MATCH(MAX(C52:L52),C52:L52,0))</f>
        <v>Copper winding wire</v>
      </c>
    </row>
    <row r="53" customFormat="false" ht="15" hidden="false" customHeight="false" outlineLevel="0" collapsed="false">
      <c r="A53" s="6" t="s">
        <v>225</v>
      </c>
      <c r="B53" s="43" t="str">
        <f aca="false">INDEX(Products!$B$2:$B$16,MATCH($A53,Products!$A$2:$A$16,0))</f>
        <v>Electric Kettle 1.5 L</v>
      </c>
      <c r="C53" s="69" t="n">
        <f aca="false">SUMIFS(BOM!$K$2:$K$400,BOM!$B$2:$B$400,$A53,BOM!$E$2:$E$400,C$44)</f>
        <v>0</v>
      </c>
      <c r="D53" s="69" t="n">
        <f aca="false">SUMIFS(BOM!$K$2:$K$400,BOM!$B$2:$B$400,$A53,BOM!$E$2:$E$400,D$44)</f>
        <v>0</v>
      </c>
      <c r="E53" s="69" t="n">
        <f aca="false">SUMIFS(BOM!$K$2:$K$400,BOM!$B$2:$B$400,$A53,BOM!$E$2:$E$400,E$44)</f>
        <v>0</v>
      </c>
      <c r="F53" s="69" t="n">
        <f aca="false">SUMIFS(BOM!$K$2:$K$400,BOM!$B$2:$B$400,$A53,BOM!$E$2:$E$400,F$44)</f>
        <v>0</v>
      </c>
      <c r="G53" s="69" t="n">
        <f aca="false">SUMIFS(BOM!$K$2:$K$400,BOM!$B$2:$B$400,$A53,BOM!$E$2:$E$400,G$44)</f>
        <v>15.4432989690722</v>
      </c>
      <c r="H53" s="69" t="n">
        <f aca="false">SUMIFS(BOM!$K$2:$K$400,BOM!$B$2:$B$400,$A53,BOM!$E$2:$E$400,H$44)</f>
        <v>32.1649484536083</v>
      </c>
      <c r="I53" s="69" t="n">
        <f aca="false">SUMIFS(BOM!$K$2:$K$400,BOM!$B$2:$B$400,$A53,BOM!$E$2:$E$400,I$44)</f>
        <v>105.768292682927</v>
      </c>
      <c r="J53" s="69" t="n">
        <f aca="false">SUMIFS(BOM!$K$2:$K$400,BOM!$B$2:$B$400,$A53,BOM!$E$2:$E$400,J$44)</f>
        <v>26</v>
      </c>
      <c r="K53" s="69" t="n">
        <f aca="false">SUMIFS(BOM!$K$2:$K$400,BOM!$B$2:$B$400,$A53,BOM!$E$2:$E$400,K$44)</f>
        <v>0</v>
      </c>
      <c r="L53" s="69" t="n">
        <f aca="false">SUMIFS(BOM!$K$2:$K$400,BOM!$B$2:$B$400,$A53,BOM!$E$2:$E$400,L$44)</f>
        <v>17.6907216494845</v>
      </c>
      <c r="M53" s="70" t="n">
        <f aca="false">SUM(C53:L53)</f>
        <v>197.067261755092</v>
      </c>
      <c r="N53" s="74" t="str">
        <f aca="false">INDEX($C$43:$L$43,MATCH(MAX(C53:L53),C53:L53,0))</f>
        <v>SS304 sheet</v>
      </c>
    </row>
    <row r="54" customFormat="false" ht="15" hidden="false" customHeight="false" outlineLevel="0" collapsed="false">
      <c r="A54" s="6" t="s">
        <v>229</v>
      </c>
      <c r="B54" s="43" t="str">
        <f aca="false">INDEX(Products!$B$2:$B$16,MATCH($A54,Products!$A$2:$A$16,0))</f>
        <v>Induction Cooktop 2000 W</v>
      </c>
      <c r="C54" s="69" t="n">
        <f aca="false">SUMIFS(BOM!$K$2:$K$400,BOM!$B$2:$B$400,$A54,BOM!$E$2:$E$400,C$44)</f>
        <v>0</v>
      </c>
      <c r="D54" s="69" t="n">
        <f aca="false">SUMIFS(BOM!$K$2:$K$400,BOM!$B$2:$B$400,$A54,BOM!$E$2:$E$400,D$44)</f>
        <v>62.7294117647059</v>
      </c>
      <c r="E54" s="69" t="n">
        <f aca="false">SUMIFS(BOM!$K$2:$K$400,BOM!$B$2:$B$400,$A54,BOM!$E$2:$E$400,E$44)</f>
        <v>51.1630434782609</v>
      </c>
      <c r="F54" s="69" t="n">
        <f aca="false">SUMIFS(BOM!$K$2:$K$400,BOM!$B$2:$B$400,$A54,BOM!$E$2:$E$400,F$44)</f>
        <v>163.622448979592</v>
      </c>
      <c r="G54" s="69" t="n">
        <f aca="false">SUMIFS(BOM!$K$2:$K$400,BOM!$B$2:$B$400,$A54,BOM!$E$2:$E$400,G$44)</f>
        <v>0</v>
      </c>
      <c r="H54" s="69" t="n">
        <f aca="false">SUMIFS(BOM!$K$2:$K$400,BOM!$B$2:$B$400,$A54,BOM!$E$2:$E$400,H$44)</f>
        <v>61.1134020618557</v>
      </c>
      <c r="I54" s="69" t="n">
        <f aca="false">SUMIFS(BOM!$K$2:$K$400,BOM!$B$2:$B$400,$A54,BOM!$E$2:$E$400,I$44)</f>
        <v>0</v>
      </c>
      <c r="J54" s="69" t="n">
        <f aca="false">SUMIFS(BOM!$K$2:$K$400,BOM!$B$2:$B$400,$A54,BOM!$E$2:$E$400,J$44)</f>
        <v>0</v>
      </c>
      <c r="K54" s="69" t="n">
        <f aca="false">SUMIFS(BOM!$K$2:$K$400,BOM!$B$2:$B$400,$A54,BOM!$E$2:$E$400,K$44)</f>
        <v>8.625</v>
      </c>
      <c r="L54" s="69" t="n">
        <f aca="false">SUMIFS(BOM!$K$2:$K$400,BOM!$B$2:$B$400,$A54,BOM!$E$2:$E$400,L$44)</f>
        <v>24.1237113402062</v>
      </c>
      <c r="M54" s="70" t="n">
        <f aca="false">SUM(C54:L54)</f>
        <v>371.37701762462</v>
      </c>
      <c r="N54" s="74" t="str">
        <f aca="false">INDEX($C$43:$L$43,MATCH(MAX(C54:L54),C54:L54,0))</f>
        <v>Copper winding wire</v>
      </c>
    </row>
    <row r="55" customFormat="false" ht="15" hidden="false" customHeight="false" outlineLevel="0" collapsed="false">
      <c r="A55" s="6" t="s">
        <v>233</v>
      </c>
      <c r="B55" s="43" t="str">
        <f aca="false">INDEX(Products!$B$2:$B$16,MATCH($A55,Products!$A$2:$A$16,0))</f>
        <v>Sandwich Maker 750 W</v>
      </c>
      <c r="C55" s="69" t="n">
        <f aca="false">SUMIFS(BOM!$K$2:$K$400,BOM!$B$2:$B$400,$A55,BOM!$E$2:$E$400,C$44)</f>
        <v>0</v>
      </c>
      <c r="D55" s="69" t="n">
        <f aca="false">SUMIFS(BOM!$K$2:$K$400,BOM!$B$2:$B$400,$A55,BOM!$E$2:$E$400,D$44)</f>
        <v>27.4441176470588</v>
      </c>
      <c r="E55" s="69" t="n">
        <f aca="false">SUMIFS(BOM!$K$2:$K$400,BOM!$B$2:$B$400,$A55,BOM!$E$2:$E$400,E$44)</f>
        <v>156.33152173913</v>
      </c>
      <c r="F55" s="69" t="n">
        <f aca="false">SUMIFS(BOM!$K$2:$K$400,BOM!$B$2:$B$400,$A55,BOM!$E$2:$E$400,F$44)</f>
        <v>0</v>
      </c>
      <c r="G55" s="69" t="n">
        <f aca="false">SUMIFS(BOM!$K$2:$K$400,BOM!$B$2:$B$400,$A55,BOM!$E$2:$E$400,G$44)</f>
        <v>0</v>
      </c>
      <c r="H55" s="69" t="n">
        <f aca="false">SUMIFS(BOM!$K$2:$K$400,BOM!$B$2:$B$400,$A55,BOM!$E$2:$E$400,H$44)</f>
        <v>45.0309278350516</v>
      </c>
      <c r="I55" s="69" t="n">
        <f aca="false">SUMIFS(BOM!$K$2:$K$400,BOM!$B$2:$B$400,$A55,BOM!$E$2:$E$400,I$44)</f>
        <v>0</v>
      </c>
      <c r="J55" s="69" t="n">
        <f aca="false">SUMIFS(BOM!$K$2:$K$400,BOM!$B$2:$B$400,$A55,BOM!$E$2:$E$400,J$44)</f>
        <v>56.3333333333333</v>
      </c>
      <c r="K55" s="69" t="n">
        <f aca="false">SUMIFS(BOM!$K$2:$K$400,BOM!$B$2:$B$400,$A55,BOM!$E$2:$E$400,K$44)</f>
        <v>0</v>
      </c>
      <c r="L55" s="69" t="n">
        <f aca="false">SUMIFS(BOM!$K$2:$K$400,BOM!$B$2:$B$400,$A55,BOM!$E$2:$E$400,L$44)</f>
        <v>17.6907216494845</v>
      </c>
      <c r="M55" s="70" t="n">
        <f aca="false">SUM(C55:L55)</f>
        <v>302.830622204059</v>
      </c>
      <c r="N55" s="74" t="str">
        <f aca="false">INDEX($C$43:$L$43,MATCH(MAX(C55:L55),C55:L55,0))</f>
        <v>Aluminium ADC12</v>
      </c>
    </row>
    <row r="56" customFormat="false" ht="15" hidden="false" customHeight="false" outlineLevel="0" collapsed="false">
      <c r="A56" s="6" t="s">
        <v>237</v>
      </c>
      <c r="B56" s="43" t="str">
        <f aca="false">INDEX(Products!$B$2:$B$16,MATCH($A56,Products!$A$2:$A$16,0))</f>
        <v>Fan Room Heater 2000 W</v>
      </c>
      <c r="C56" s="69" t="n">
        <f aca="false">SUMIFS(BOM!$K$2:$K$400,BOM!$B$2:$B$400,$A56,BOM!$E$2:$E$400,C$44)</f>
        <v>12.0085714285714</v>
      </c>
      <c r="D56" s="69" t="n">
        <f aca="false">SUMIFS(BOM!$K$2:$K$400,BOM!$B$2:$B$400,$A56,BOM!$E$2:$E$400,D$44)</f>
        <v>82.3323529411765</v>
      </c>
      <c r="E56" s="69" t="n">
        <f aca="false">SUMIFS(BOM!$K$2:$K$400,BOM!$B$2:$B$400,$A56,BOM!$E$2:$E$400,E$44)</f>
        <v>34.1086956521739</v>
      </c>
      <c r="F56" s="69" t="n">
        <f aca="false">SUMIFS(BOM!$K$2:$K$400,BOM!$B$2:$B$400,$A56,BOM!$E$2:$E$400,F$44)</f>
        <v>68.1760204081633</v>
      </c>
      <c r="G56" s="69" t="n">
        <f aca="false">SUMIFS(BOM!$K$2:$K$400,BOM!$B$2:$B$400,$A56,BOM!$E$2:$E$400,G$44)</f>
        <v>22.0618556701031</v>
      </c>
      <c r="H56" s="69" t="n">
        <f aca="false">SUMIFS(BOM!$K$2:$K$400,BOM!$B$2:$B$400,$A56,BOM!$E$2:$E$400,H$44)</f>
        <v>67.5463917525773</v>
      </c>
      <c r="I56" s="69" t="n">
        <f aca="false">SUMIFS(BOM!$K$2:$K$400,BOM!$B$2:$B$400,$A56,BOM!$E$2:$E$400,I$44)</f>
        <v>0</v>
      </c>
      <c r="J56" s="69" t="n">
        <f aca="false">SUMIFS(BOM!$K$2:$K$400,BOM!$B$2:$B$400,$A56,BOM!$E$2:$E$400,J$44)</f>
        <v>108.333333333333</v>
      </c>
      <c r="K56" s="69" t="n">
        <f aca="false">SUMIFS(BOM!$K$2:$K$400,BOM!$B$2:$B$400,$A56,BOM!$E$2:$E$400,K$44)</f>
        <v>17.25</v>
      </c>
      <c r="L56" s="69" t="n">
        <f aca="false">SUMIFS(BOM!$K$2:$K$400,BOM!$B$2:$B$400,$A56,BOM!$E$2:$E$400,L$44)</f>
        <v>29.4845360824742</v>
      </c>
      <c r="M56" s="70" t="n">
        <f aca="false">SUM(C56:L56)</f>
        <v>441.301757268573</v>
      </c>
      <c r="N56" s="74" t="str">
        <f aca="false">INDEX($C$43:$L$43,MATCH(MAX(C56:L56),C56:L56,0))</f>
        <v>Nichrome wire</v>
      </c>
    </row>
    <row r="57" customFormat="false" ht="15" hidden="false" customHeight="false" outlineLevel="0" collapsed="false">
      <c r="A57" s="6" t="s">
        <v>243</v>
      </c>
      <c r="B57" s="43" t="str">
        <f aca="false">INDEX(Products!$B$2:$B$16,MATCH($A57,Products!$A$2:$A$16,0))</f>
        <v>Immersion Water Heater Rod 1500 W</v>
      </c>
      <c r="C57" s="69" t="n">
        <f aca="false">SUMIFS(BOM!$K$2:$K$400,BOM!$B$2:$B$400,$A57,BOM!$E$2:$E$400,C$44)</f>
        <v>0</v>
      </c>
      <c r="D57" s="69" t="n">
        <f aca="false">SUMIFS(BOM!$K$2:$K$400,BOM!$B$2:$B$400,$A57,BOM!$E$2:$E$400,D$44)</f>
        <v>0</v>
      </c>
      <c r="E57" s="69" t="n">
        <f aca="false">SUMIFS(BOM!$K$2:$K$400,BOM!$B$2:$B$400,$A57,BOM!$E$2:$E$400,E$44)</f>
        <v>0</v>
      </c>
      <c r="F57" s="69" t="n">
        <f aca="false">SUMIFS(BOM!$K$2:$K$400,BOM!$B$2:$B$400,$A57,BOM!$E$2:$E$400,F$44)</f>
        <v>0</v>
      </c>
      <c r="G57" s="69" t="n">
        <f aca="false">SUMIFS(BOM!$K$2:$K$400,BOM!$B$2:$B$400,$A57,BOM!$E$2:$E$400,G$44)</f>
        <v>6.61855670103093</v>
      </c>
      <c r="H57" s="69" t="n">
        <f aca="false">SUMIFS(BOM!$K$2:$K$400,BOM!$B$2:$B$400,$A57,BOM!$E$2:$E$400,H$44)</f>
        <v>0</v>
      </c>
      <c r="I57" s="69" t="n">
        <f aca="false">SUMIFS(BOM!$K$2:$K$400,BOM!$B$2:$B$400,$A57,BOM!$E$2:$E$400,I$44)</f>
        <v>17.6280487804878</v>
      </c>
      <c r="J57" s="69" t="n">
        <f aca="false">SUMIFS(BOM!$K$2:$K$400,BOM!$B$2:$B$400,$A57,BOM!$E$2:$E$400,J$44)</f>
        <v>65</v>
      </c>
      <c r="K57" s="69" t="n">
        <f aca="false">SUMIFS(BOM!$K$2:$K$400,BOM!$B$2:$B$400,$A57,BOM!$E$2:$E$400,K$44)</f>
        <v>0</v>
      </c>
      <c r="L57" s="69" t="n">
        <f aca="false">SUMIFS(BOM!$K$2:$K$400,BOM!$B$2:$B$400,$A57,BOM!$E$2:$E$400,L$44)</f>
        <v>6.43298969072165</v>
      </c>
      <c r="M57" s="70" t="n">
        <f aca="false">SUM(C57:L57)</f>
        <v>95.6795951722404</v>
      </c>
      <c r="N57" s="74" t="str">
        <f aca="false">INDEX($C$43:$L$43,MATCH(MAX(C57:L57),C57:L57,0))</f>
        <v>Nichrome wire</v>
      </c>
    </row>
    <row r="58" customFormat="false" ht="15" hidden="false" customHeight="false" outlineLevel="0" collapsed="false">
      <c r="A58" s="6" t="s">
        <v>247</v>
      </c>
      <c r="B58" s="43" t="str">
        <f aca="false">INDEX(Products!$B$2:$B$16,MATCH($A58,Products!$A$2:$A$16,0))</f>
        <v>Dry Iron 1000 W</v>
      </c>
      <c r="C58" s="69" t="n">
        <f aca="false">SUMIFS(BOM!$K$2:$K$400,BOM!$B$2:$B$400,$A58,BOM!$E$2:$E$400,C$44)</f>
        <v>0</v>
      </c>
      <c r="D58" s="69" t="n">
        <f aca="false">SUMIFS(BOM!$K$2:$K$400,BOM!$B$2:$B$400,$A58,BOM!$E$2:$E$400,D$44)</f>
        <v>6.27294117647059</v>
      </c>
      <c r="E58" s="69" t="n">
        <f aca="false">SUMIFS(BOM!$K$2:$K$400,BOM!$B$2:$B$400,$A58,BOM!$E$2:$E$400,E$44)</f>
        <v>99.4836956521739</v>
      </c>
      <c r="F58" s="69" t="n">
        <f aca="false">SUMIFS(BOM!$K$2:$K$400,BOM!$B$2:$B$400,$A58,BOM!$E$2:$E$400,F$44)</f>
        <v>0</v>
      </c>
      <c r="G58" s="69" t="n">
        <f aca="false">SUMIFS(BOM!$K$2:$K$400,BOM!$B$2:$B$400,$A58,BOM!$E$2:$E$400,G$44)</f>
        <v>8.82474226804124</v>
      </c>
      <c r="H58" s="69" t="n">
        <f aca="false">SUMIFS(BOM!$K$2:$K$400,BOM!$B$2:$B$400,$A58,BOM!$E$2:$E$400,H$44)</f>
        <v>35.3814432989691</v>
      </c>
      <c r="I58" s="69" t="n">
        <f aca="false">SUMIFS(BOM!$K$2:$K$400,BOM!$B$2:$B$400,$A58,BOM!$E$2:$E$400,I$44)</f>
        <v>0</v>
      </c>
      <c r="J58" s="69" t="n">
        <f aca="false">SUMIFS(BOM!$K$2:$K$400,BOM!$B$2:$B$400,$A58,BOM!$E$2:$E$400,J$44)</f>
        <v>47.6666666666667</v>
      </c>
      <c r="K58" s="69" t="n">
        <f aca="false">SUMIFS(BOM!$K$2:$K$400,BOM!$B$2:$B$400,$A58,BOM!$E$2:$E$400,K$44)</f>
        <v>0</v>
      </c>
      <c r="L58" s="69" t="n">
        <f aca="false">SUMIFS(BOM!$K$2:$K$400,BOM!$B$2:$B$400,$A58,BOM!$E$2:$E$400,L$44)</f>
        <v>16.0824742268041</v>
      </c>
      <c r="M58" s="70" t="n">
        <f aca="false">SUM(C58:L58)</f>
        <v>213.711963289126</v>
      </c>
      <c r="N58" s="74" t="str">
        <f aca="false">INDEX($C$43:$L$43,MATCH(MAX(C58:L58),C58:L58,0))</f>
        <v>Aluminium ADC12</v>
      </c>
    </row>
    <row r="59" customFormat="false" ht="15" hidden="false" customHeight="false" outlineLevel="0" collapsed="false">
      <c r="A59" s="6" t="s">
        <v>251</v>
      </c>
      <c r="B59" s="43" t="str">
        <f aca="false">INDEX(Products!$B$2:$B$16,MATCH($A59,Products!$A$2:$A$16,0))</f>
        <v>Water Pump 0.5 HP Monoblock</v>
      </c>
      <c r="C59" s="69" t="n">
        <f aca="false">SUMIFS(BOM!$K$2:$K$400,BOM!$B$2:$B$400,$A59,BOM!$E$2:$E$400,C$44)</f>
        <v>266.857142857143</v>
      </c>
      <c r="D59" s="69" t="n">
        <f aca="false">SUMIFS(BOM!$K$2:$K$400,BOM!$B$2:$B$400,$A59,BOM!$E$2:$E$400,D$44)</f>
        <v>54.8882352941177</v>
      </c>
      <c r="E59" s="69" t="n">
        <f aca="false">SUMIFS(BOM!$K$2:$K$400,BOM!$B$2:$B$400,$A59,BOM!$E$2:$E$400,E$44)</f>
        <v>369.510869565217</v>
      </c>
      <c r="F59" s="69" t="n">
        <f aca="false">SUMIFS(BOM!$K$2:$K$400,BOM!$B$2:$B$400,$A59,BOM!$E$2:$E$400,F$44)</f>
        <v>1090.81632653061</v>
      </c>
      <c r="G59" s="69" t="n">
        <f aca="false">SUMIFS(BOM!$K$2:$K$400,BOM!$B$2:$B$400,$A59,BOM!$E$2:$E$400,G$44)</f>
        <v>30.8865979381443</v>
      </c>
      <c r="H59" s="69" t="n">
        <f aca="false">SUMIFS(BOM!$K$2:$K$400,BOM!$B$2:$B$400,$A59,BOM!$E$2:$E$400,H$44)</f>
        <v>0</v>
      </c>
      <c r="I59" s="69" t="n">
        <f aca="false">SUMIFS(BOM!$K$2:$K$400,BOM!$B$2:$B$400,$A59,BOM!$E$2:$E$400,I$44)</f>
        <v>45.3292682926829</v>
      </c>
      <c r="J59" s="69" t="n">
        <f aca="false">SUMIFS(BOM!$K$2:$K$400,BOM!$B$2:$B$400,$A59,BOM!$E$2:$E$400,J$44)</f>
        <v>0</v>
      </c>
      <c r="K59" s="69" t="n">
        <f aca="false">SUMIFS(BOM!$K$2:$K$400,BOM!$B$2:$B$400,$A59,BOM!$E$2:$E$400,K$44)</f>
        <v>25.875</v>
      </c>
      <c r="L59" s="69" t="n">
        <f aca="false">SUMIFS(BOM!$K$2:$K$400,BOM!$B$2:$B$400,$A59,BOM!$E$2:$E$400,L$44)</f>
        <v>45.5670103092784</v>
      </c>
      <c r="M59" s="70" t="n">
        <f aca="false">SUM(C59:L59)</f>
        <v>1929.7304507872</v>
      </c>
      <c r="N59" s="74" t="str">
        <f aca="false">INDEX($C$43:$L$43,MATCH(MAX(C59:L59),C59:L59,0))</f>
        <v>Copper winding wire</v>
      </c>
    </row>
    <row r="62" customFormat="false" ht="19.5" hidden="false" customHeight="true" outlineLevel="0" collapsed="false">
      <c r="A62" s="3" t="s">
        <v>665</v>
      </c>
      <c r="B62" s="4"/>
      <c r="C62" s="4"/>
      <c r="D62" s="4"/>
      <c r="E62" s="4"/>
      <c r="F62" s="4"/>
      <c r="G62" s="4"/>
      <c r="H62" s="4"/>
      <c r="I62" s="4"/>
      <c r="J62" s="4"/>
      <c r="K62" s="4"/>
      <c r="L62" s="4"/>
      <c r="M62" s="4"/>
      <c r="N62" s="4"/>
    </row>
    <row r="63" customFormat="false" ht="43.5" hidden="false" customHeight="true" outlineLevel="0" collapsed="false">
      <c r="A63" s="8" t="s">
        <v>172</v>
      </c>
      <c r="B63" s="8" t="s">
        <v>118</v>
      </c>
      <c r="C63" s="8" t="s">
        <v>475</v>
      </c>
      <c r="D63" s="8" t="s">
        <v>540</v>
      </c>
      <c r="E63" s="8" t="s">
        <v>578</v>
      </c>
      <c r="F63" s="8" t="s">
        <v>526</v>
      </c>
      <c r="G63" s="8" t="s">
        <v>494</v>
      </c>
      <c r="H63" s="8" t="s">
        <v>480</v>
      </c>
      <c r="I63" s="8" t="s">
        <v>482</v>
      </c>
      <c r="J63" s="8" t="s">
        <v>344</v>
      </c>
      <c r="K63" s="8" t="s">
        <v>666</v>
      </c>
      <c r="L63" s="8" t="s">
        <v>667</v>
      </c>
    </row>
    <row r="64" customFormat="false" ht="15" hidden="false" customHeight="false" outlineLevel="0" collapsed="false">
      <c r="A64" s="6" t="s">
        <v>191</v>
      </c>
      <c r="B64" s="43" t="str">
        <f aca="false">INDEX(Products!$B$2:$B$16,MATCH($A64,Products!$A$2:$A$16,0))</f>
        <v>Ceiling Fan 1200 mm - Induction</v>
      </c>
      <c r="C64" s="69" t="n">
        <f aca="false">SUMIFS(BOM!$K$2:$K$400,BOM!$B$2:$B$400,$A64,BOM!$D$2:$D$400,C$63)</f>
        <v>828.212422360248</v>
      </c>
      <c r="D64" s="69" t="n">
        <f aca="false">SUMIFS(BOM!$K$2:$K$400,BOM!$B$2:$B$400,$A64,BOM!$D$2:$D$400,D$63)</f>
        <v>0</v>
      </c>
      <c r="E64" s="69" t="n">
        <f aca="false">SUMIFS(BOM!$K$2:$K$400,BOM!$B$2:$B$400,$A64,BOM!$D$2:$D$400,E$63)</f>
        <v>0</v>
      </c>
      <c r="F64" s="69" t="n">
        <f aca="false">SUMIFS(BOM!$K$2:$K$400,BOM!$B$2:$B$400,$A64,BOM!$D$2:$D$400,F$63)</f>
        <v>0</v>
      </c>
      <c r="G64" s="69" t="n">
        <f aca="false">SUMIFS(BOM!$K$2:$K$400,BOM!$B$2:$B$400,$A64,BOM!$D$2:$D$400,G$63)</f>
        <v>0</v>
      </c>
      <c r="H64" s="69" t="n">
        <f aca="false">SUMIFS(BOM!$K$2:$K$400,BOM!$B$2:$B$400,$A64,BOM!$D$2:$D$400,H$63)</f>
        <v>164.664705882353</v>
      </c>
      <c r="I64" s="69" t="n">
        <f aca="false">SUMIFS(BOM!$K$2:$K$400,BOM!$B$2:$B$400,$A64,BOM!$D$2:$D$400,I$63)</f>
        <v>34.5</v>
      </c>
      <c r="J64" s="69" t="n">
        <f aca="false">SUMIFS(BOM!$K$2:$K$400,BOM!$B$2:$B$400,$A64,BOM!$D$2:$D$400,J$63)</f>
        <v>40.2061855670103</v>
      </c>
      <c r="K64" s="70" t="n">
        <f aca="false">SUM(C64:J64)</f>
        <v>1067.58331380961</v>
      </c>
      <c r="L64" s="75" t="n">
        <f aca="false">K64-M45</f>
        <v>0</v>
      </c>
    </row>
    <row r="65" customFormat="false" ht="15" hidden="false" customHeight="false" outlineLevel="0" collapsed="false">
      <c r="A65" s="6" t="s">
        <v>197</v>
      </c>
      <c r="B65" s="43" t="str">
        <f aca="false">INDEX(Products!$B$2:$B$16,MATCH($A65,Products!$A$2:$A$16,0))</f>
        <v>Ceiling Fan 1200 mm - BLDC</v>
      </c>
      <c r="C65" s="69" t="n">
        <f aca="false">SUMIFS(BOM!$K$2:$K$400,BOM!$B$2:$B$400,$A65,BOM!$D$2:$D$400,C$63)</f>
        <v>660.595057675244</v>
      </c>
      <c r="D65" s="69" t="n">
        <f aca="false">SUMIFS(BOM!$K$2:$K$400,BOM!$B$2:$B$400,$A65,BOM!$D$2:$D$400,D$63)</f>
        <v>0</v>
      </c>
      <c r="E65" s="69" t="n">
        <f aca="false">SUMIFS(BOM!$K$2:$K$400,BOM!$B$2:$B$400,$A65,BOM!$D$2:$D$400,E$63)</f>
        <v>0</v>
      </c>
      <c r="F65" s="69" t="n">
        <f aca="false">SUMIFS(BOM!$K$2:$K$400,BOM!$B$2:$B$400,$A65,BOM!$D$2:$D$400,F$63)</f>
        <v>0</v>
      </c>
      <c r="G65" s="69" t="n">
        <f aca="false">SUMIFS(BOM!$K$2:$K$400,BOM!$B$2:$B$400,$A65,BOM!$D$2:$D$400,G$63)</f>
        <v>0</v>
      </c>
      <c r="H65" s="69" t="n">
        <f aca="false">SUMIFS(BOM!$K$2:$K$400,BOM!$B$2:$B$400,$A65,BOM!$D$2:$D$400,H$63)</f>
        <v>145.061764705882</v>
      </c>
      <c r="I65" s="69" t="n">
        <f aca="false">SUMIFS(BOM!$K$2:$K$400,BOM!$B$2:$B$400,$A65,BOM!$D$2:$D$400,I$63)</f>
        <v>30.1875</v>
      </c>
      <c r="J65" s="69" t="n">
        <f aca="false">SUMIFS(BOM!$K$2:$K$400,BOM!$B$2:$B$400,$A65,BOM!$D$2:$D$400,J$63)</f>
        <v>38.5979381443299</v>
      </c>
      <c r="K65" s="70" t="n">
        <f aca="false">SUM(C65:J65)</f>
        <v>874.442260525456</v>
      </c>
      <c r="L65" s="75" t="n">
        <f aca="false">K65-M46</f>
        <v>0</v>
      </c>
    </row>
    <row r="66" customFormat="false" ht="15" hidden="false" customHeight="false" outlineLevel="0" collapsed="false">
      <c r="A66" s="6" t="s">
        <v>201</v>
      </c>
      <c r="B66" s="43" t="str">
        <f aca="false">INDEX(Products!$B$2:$B$16,MATCH($A66,Products!$A$2:$A$16,0))</f>
        <v>Pedestal Fan 400 mm</v>
      </c>
      <c r="C66" s="69" t="n">
        <f aca="false">SUMIFS(BOM!$K$2:$K$400,BOM!$B$2:$B$400,$A66,BOM!$D$2:$D$400,C$63)</f>
        <v>468.904276841171</v>
      </c>
      <c r="D66" s="69" t="n">
        <f aca="false">SUMIFS(BOM!$K$2:$K$400,BOM!$B$2:$B$400,$A66,BOM!$D$2:$D$400,D$63)</f>
        <v>0</v>
      </c>
      <c r="E66" s="69" t="n">
        <f aca="false">SUMIFS(BOM!$K$2:$K$400,BOM!$B$2:$B$400,$A66,BOM!$D$2:$D$400,E$63)</f>
        <v>0</v>
      </c>
      <c r="F66" s="69" t="n">
        <f aca="false">SUMIFS(BOM!$K$2:$K$400,BOM!$B$2:$B$400,$A66,BOM!$D$2:$D$400,F$63)</f>
        <v>0</v>
      </c>
      <c r="G66" s="69" t="n">
        <f aca="false">SUMIFS(BOM!$K$2:$K$400,BOM!$B$2:$B$400,$A66,BOM!$D$2:$D$400,G$63)</f>
        <v>33.0927835051546</v>
      </c>
      <c r="H66" s="69" t="n">
        <f aca="false">SUMIFS(BOM!$K$2:$K$400,BOM!$B$2:$B$400,$A66,BOM!$D$2:$D$400,H$63)</f>
        <v>185.868132201334</v>
      </c>
      <c r="I66" s="69" t="n">
        <f aca="false">SUMIFS(BOM!$K$2:$K$400,BOM!$B$2:$B$400,$A66,BOM!$D$2:$D$400,I$63)</f>
        <v>30.1875</v>
      </c>
      <c r="J66" s="69" t="n">
        <f aca="false">SUMIFS(BOM!$K$2:$K$400,BOM!$B$2:$B$400,$A66,BOM!$D$2:$D$400,J$63)</f>
        <v>64.3298969072165</v>
      </c>
      <c r="K66" s="70" t="n">
        <f aca="false">SUM(C66:J66)</f>
        <v>782.382589454877</v>
      </c>
      <c r="L66" s="75" t="n">
        <f aca="false">K66-M47</f>
        <v>0</v>
      </c>
    </row>
    <row r="67" customFormat="false" ht="15" hidden="false" customHeight="false" outlineLevel="0" collapsed="false">
      <c r="A67" s="6" t="s">
        <v>205</v>
      </c>
      <c r="B67" s="43" t="str">
        <f aca="false">INDEX(Products!$B$2:$B$16,MATCH($A67,Products!$A$2:$A$16,0))</f>
        <v>Table Fan 400 mm</v>
      </c>
      <c r="C67" s="69" t="n">
        <f aca="false">SUMIFS(BOM!$K$2:$K$400,BOM!$B$2:$B$400,$A67,BOM!$D$2:$D$400,C$63)</f>
        <v>355.945275066548</v>
      </c>
      <c r="D67" s="69" t="n">
        <f aca="false">SUMIFS(BOM!$K$2:$K$400,BOM!$B$2:$B$400,$A67,BOM!$D$2:$D$400,D$63)</f>
        <v>0</v>
      </c>
      <c r="E67" s="69" t="n">
        <f aca="false">SUMIFS(BOM!$K$2:$K$400,BOM!$B$2:$B$400,$A67,BOM!$D$2:$D$400,E$63)</f>
        <v>0</v>
      </c>
      <c r="F67" s="69" t="n">
        <f aca="false">SUMIFS(BOM!$K$2:$K$400,BOM!$B$2:$B$400,$A67,BOM!$D$2:$D$400,F$63)</f>
        <v>0</v>
      </c>
      <c r="G67" s="69" t="n">
        <f aca="false">SUMIFS(BOM!$K$2:$K$400,BOM!$B$2:$B$400,$A67,BOM!$D$2:$D$400,G$63)</f>
        <v>27.5773195876289</v>
      </c>
      <c r="H67" s="69" t="n">
        <f aca="false">SUMIFS(BOM!$K$2:$K$400,BOM!$B$2:$B$400,$A67,BOM!$D$2:$D$400,H$63)</f>
        <v>126.355215281989</v>
      </c>
      <c r="I67" s="69" t="n">
        <f aca="false">SUMIFS(BOM!$K$2:$K$400,BOM!$B$2:$B$400,$A67,BOM!$D$2:$D$400,I$63)</f>
        <v>12.9375</v>
      </c>
      <c r="J67" s="69" t="n">
        <f aca="false">SUMIFS(BOM!$K$2:$K$400,BOM!$B$2:$B$400,$A67,BOM!$D$2:$D$400,J$63)</f>
        <v>32.1649484536083</v>
      </c>
      <c r="K67" s="70" t="n">
        <f aca="false">SUM(C67:J67)</f>
        <v>554.980258389775</v>
      </c>
      <c r="L67" s="75" t="n">
        <f aca="false">K67-M48</f>
        <v>0</v>
      </c>
    </row>
    <row r="68" customFormat="false" ht="15" hidden="false" customHeight="false" outlineLevel="0" collapsed="false">
      <c r="A68" s="6" t="s">
        <v>208</v>
      </c>
      <c r="B68" s="43" t="str">
        <f aca="false">INDEX(Products!$B$2:$B$16,MATCH($A68,Products!$A$2:$A$16,0))</f>
        <v>Exhaust Fan 230 mm</v>
      </c>
      <c r="C68" s="69" t="n">
        <f aca="false">SUMIFS(BOM!$K$2:$K$400,BOM!$B$2:$B$400,$A68,BOM!$D$2:$D$400,C$63)</f>
        <v>166.804538598048</v>
      </c>
      <c r="D68" s="69" t="n">
        <f aca="false">SUMIFS(BOM!$K$2:$K$400,BOM!$B$2:$B$400,$A68,BOM!$D$2:$D$400,D$63)</f>
        <v>0</v>
      </c>
      <c r="E68" s="69" t="n">
        <f aca="false">SUMIFS(BOM!$K$2:$K$400,BOM!$B$2:$B$400,$A68,BOM!$D$2:$D$400,E$63)</f>
        <v>0</v>
      </c>
      <c r="F68" s="69" t="n">
        <f aca="false">SUMIFS(BOM!$K$2:$K$400,BOM!$B$2:$B$400,$A68,BOM!$D$2:$D$400,F$63)</f>
        <v>0</v>
      </c>
      <c r="G68" s="69" t="n">
        <f aca="false">SUMIFS(BOM!$K$2:$K$400,BOM!$B$2:$B$400,$A68,BOM!$D$2:$D$400,G$63)</f>
        <v>22.0618556701031</v>
      </c>
      <c r="H68" s="69" t="n">
        <f aca="false">SUMIFS(BOM!$K$2:$K$400,BOM!$B$2:$B$400,$A68,BOM!$D$2:$D$400,H$63)</f>
        <v>96.3986961795027</v>
      </c>
      <c r="I68" s="69" t="n">
        <f aca="false">SUMIFS(BOM!$K$2:$K$400,BOM!$B$2:$B$400,$A68,BOM!$D$2:$D$400,I$63)</f>
        <v>8.625</v>
      </c>
      <c r="J68" s="69" t="n">
        <f aca="false">SUMIFS(BOM!$K$2:$K$400,BOM!$B$2:$B$400,$A68,BOM!$D$2:$D$400,J$63)</f>
        <v>21.4432989690722</v>
      </c>
      <c r="K68" s="70" t="n">
        <f aca="false">SUM(C68:J68)</f>
        <v>315.333389416726</v>
      </c>
      <c r="L68" s="75" t="n">
        <f aca="false">K68-M49</f>
        <v>0</v>
      </c>
    </row>
    <row r="69" customFormat="false" ht="15" hidden="false" customHeight="false" outlineLevel="0" collapsed="false">
      <c r="A69" s="6" t="s">
        <v>212</v>
      </c>
      <c r="B69" s="43" t="str">
        <f aca="false">INDEX(Products!$B$2:$B$16,MATCH($A69,Products!$A$2:$A$16,0))</f>
        <v>Personal Air Cooler 30 L</v>
      </c>
      <c r="C69" s="69" t="n">
        <f aca="false">SUMIFS(BOM!$K$2:$K$400,BOM!$B$2:$B$400,$A69,BOM!$D$2:$D$400,C$63)</f>
        <v>221.400647737356</v>
      </c>
      <c r="D69" s="69" t="n">
        <f aca="false">SUMIFS(BOM!$K$2:$K$400,BOM!$B$2:$B$400,$A69,BOM!$D$2:$D$400,D$63)</f>
        <v>0</v>
      </c>
      <c r="E69" s="69" t="n">
        <f aca="false">SUMIFS(BOM!$K$2:$K$400,BOM!$B$2:$B$400,$A69,BOM!$D$2:$D$400,E$63)</f>
        <v>0</v>
      </c>
      <c r="F69" s="69" t="n">
        <f aca="false">SUMIFS(BOM!$K$2:$K$400,BOM!$B$2:$B$400,$A69,BOM!$D$2:$D$400,F$63)</f>
        <v>0</v>
      </c>
      <c r="G69" s="69" t="n">
        <f aca="false">SUMIFS(BOM!$K$2:$K$400,BOM!$B$2:$B$400,$A69,BOM!$D$2:$D$400,G$63)</f>
        <v>0</v>
      </c>
      <c r="H69" s="69" t="n">
        <f aca="false">SUMIFS(BOM!$K$2:$K$400,BOM!$B$2:$B$400,$A69,BOM!$D$2:$D$400,H$63)</f>
        <v>591.155457853245</v>
      </c>
      <c r="I69" s="69" t="n">
        <f aca="false">SUMIFS(BOM!$K$2:$K$400,BOM!$B$2:$B$400,$A69,BOM!$D$2:$D$400,I$63)</f>
        <v>0</v>
      </c>
      <c r="J69" s="69" t="n">
        <f aca="false">SUMIFS(BOM!$K$2:$K$400,BOM!$B$2:$B$400,$A69,BOM!$D$2:$D$400,J$63)</f>
        <v>85.7731958762887</v>
      </c>
      <c r="K69" s="70" t="n">
        <f aca="false">SUM(C69:J69)</f>
        <v>898.329301466889</v>
      </c>
      <c r="L69" s="75" t="n">
        <f aca="false">K69-M50</f>
        <v>0</v>
      </c>
    </row>
    <row r="70" customFormat="false" ht="15" hidden="false" customHeight="false" outlineLevel="0" collapsed="false">
      <c r="A70" s="6" t="s">
        <v>216</v>
      </c>
      <c r="B70" s="43" t="str">
        <f aca="false">INDEX(Products!$B$2:$B$16,MATCH($A70,Products!$A$2:$A$16,0))</f>
        <v>Mixer Grinder 500 W</v>
      </c>
      <c r="C70" s="69" t="n">
        <f aca="false">SUMIFS(BOM!$K$2:$K$400,BOM!$B$2:$B$400,$A70,BOM!$D$2:$D$400,C$63)</f>
        <v>459.501042590949</v>
      </c>
      <c r="D70" s="69" t="n">
        <f aca="false">SUMIFS(BOM!$K$2:$K$400,BOM!$B$2:$B$400,$A70,BOM!$D$2:$D$400,D$63)</f>
        <v>0</v>
      </c>
      <c r="E70" s="69" t="n">
        <f aca="false">SUMIFS(BOM!$K$2:$K$400,BOM!$B$2:$B$400,$A70,BOM!$D$2:$D$400,E$63)</f>
        <v>0</v>
      </c>
      <c r="F70" s="69" t="n">
        <f aca="false">SUMIFS(BOM!$K$2:$K$400,BOM!$B$2:$B$400,$A70,BOM!$D$2:$D$400,F$63)</f>
        <v>151.09756097561</v>
      </c>
      <c r="G70" s="69" t="n">
        <f aca="false">SUMIFS(BOM!$K$2:$K$400,BOM!$B$2:$B$400,$A70,BOM!$D$2:$D$400,G$63)</f>
        <v>0</v>
      </c>
      <c r="H70" s="69" t="n">
        <f aca="false">SUMIFS(BOM!$K$2:$K$400,BOM!$B$2:$B$400,$A70,BOM!$D$2:$D$400,H$63)</f>
        <v>130.955803517283</v>
      </c>
      <c r="I70" s="69" t="n">
        <f aca="false">SUMIFS(BOM!$K$2:$K$400,BOM!$B$2:$B$400,$A70,BOM!$D$2:$D$400,I$63)</f>
        <v>0</v>
      </c>
      <c r="J70" s="69" t="n">
        <f aca="false">SUMIFS(BOM!$K$2:$K$400,BOM!$B$2:$B$400,$A70,BOM!$D$2:$D$400,J$63)</f>
        <v>29.4845360824742</v>
      </c>
      <c r="K70" s="70" t="n">
        <f aca="false">SUM(C70:J70)</f>
        <v>771.038943166317</v>
      </c>
      <c r="L70" s="75" t="n">
        <f aca="false">K70-M51</f>
        <v>0</v>
      </c>
    </row>
    <row r="71" customFormat="false" ht="15" hidden="false" customHeight="false" outlineLevel="0" collapsed="false">
      <c r="A71" s="6" t="s">
        <v>222</v>
      </c>
      <c r="B71" s="43" t="str">
        <f aca="false">INDEX(Products!$B$2:$B$16,MATCH($A71,Products!$A$2:$A$16,0))</f>
        <v>Mixer Grinder 750 W</v>
      </c>
      <c r="C71" s="69" t="n">
        <f aca="false">SUMIFS(BOM!$K$2:$K$400,BOM!$B$2:$B$400,$A71,BOM!$D$2:$D$400,C$63)</f>
        <v>628.21661934339</v>
      </c>
      <c r="D71" s="69" t="n">
        <f aca="false">SUMIFS(BOM!$K$2:$K$400,BOM!$B$2:$B$400,$A71,BOM!$D$2:$D$400,D$63)</f>
        <v>0</v>
      </c>
      <c r="E71" s="69" t="n">
        <f aca="false">SUMIFS(BOM!$K$2:$K$400,BOM!$B$2:$B$400,$A71,BOM!$D$2:$D$400,E$63)</f>
        <v>0</v>
      </c>
      <c r="F71" s="69" t="n">
        <f aca="false">SUMIFS(BOM!$K$2:$K$400,BOM!$B$2:$B$400,$A71,BOM!$D$2:$D$400,F$63)</f>
        <v>196.426829268293</v>
      </c>
      <c r="G71" s="69" t="n">
        <f aca="false">SUMIFS(BOM!$K$2:$K$400,BOM!$B$2:$B$400,$A71,BOM!$D$2:$D$400,G$63)</f>
        <v>0</v>
      </c>
      <c r="H71" s="69" t="n">
        <f aca="false">SUMIFS(BOM!$K$2:$K$400,BOM!$B$2:$B$400,$A71,BOM!$D$2:$D$400,H$63)</f>
        <v>148.978259551243</v>
      </c>
      <c r="I71" s="69" t="n">
        <f aca="false">SUMIFS(BOM!$K$2:$K$400,BOM!$B$2:$B$400,$A71,BOM!$D$2:$D$400,I$63)</f>
        <v>0</v>
      </c>
      <c r="J71" s="69" t="n">
        <f aca="false">SUMIFS(BOM!$K$2:$K$400,BOM!$B$2:$B$400,$A71,BOM!$D$2:$D$400,J$63)</f>
        <v>33.2371134020619</v>
      </c>
      <c r="K71" s="70" t="n">
        <f aca="false">SUM(C71:J71)</f>
        <v>1006.85882156499</v>
      </c>
      <c r="L71" s="75" t="n">
        <f aca="false">K71-M52</f>
        <v>0</v>
      </c>
    </row>
    <row r="72" customFormat="false" ht="15" hidden="false" customHeight="false" outlineLevel="0" collapsed="false">
      <c r="A72" s="6" t="s">
        <v>225</v>
      </c>
      <c r="B72" s="43" t="str">
        <f aca="false">INDEX(Products!$B$2:$B$16,MATCH($A72,Products!$A$2:$A$16,0))</f>
        <v>Electric Kettle 1.5 L</v>
      </c>
      <c r="C72" s="69" t="n">
        <f aca="false">SUMIFS(BOM!$K$2:$K$400,BOM!$B$2:$B$400,$A72,BOM!$D$2:$D$400,C$63)</f>
        <v>0</v>
      </c>
      <c r="D72" s="69" t="n">
        <f aca="false">SUMIFS(BOM!$K$2:$K$400,BOM!$B$2:$B$400,$A72,BOM!$D$2:$D$400,D$63)</f>
        <v>26</v>
      </c>
      <c r="E72" s="69" t="n">
        <f aca="false">SUMIFS(BOM!$K$2:$K$400,BOM!$B$2:$B$400,$A72,BOM!$D$2:$D$400,E$63)</f>
        <v>0</v>
      </c>
      <c r="F72" s="69" t="n">
        <f aca="false">SUMIFS(BOM!$K$2:$K$400,BOM!$B$2:$B$400,$A72,BOM!$D$2:$D$400,F$63)</f>
        <v>0</v>
      </c>
      <c r="G72" s="69" t="n">
        <f aca="false">SUMIFS(BOM!$K$2:$K$400,BOM!$B$2:$B$400,$A72,BOM!$D$2:$D$400,G$63)</f>
        <v>0</v>
      </c>
      <c r="H72" s="69" t="n">
        <f aca="false">SUMIFS(BOM!$K$2:$K$400,BOM!$B$2:$B$400,$A72,BOM!$D$2:$D$400,H$63)</f>
        <v>153.376540105607</v>
      </c>
      <c r="I72" s="69" t="n">
        <f aca="false">SUMIFS(BOM!$K$2:$K$400,BOM!$B$2:$B$400,$A72,BOM!$D$2:$D$400,I$63)</f>
        <v>0</v>
      </c>
      <c r="J72" s="69" t="n">
        <f aca="false">SUMIFS(BOM!$K$2:$K$400,BOM!$B$2:$B$400,$A72,BOM!$D$2:$D$400,J$63)</f>
        <v>17.6907216494845</v>
      </c>
      <c r="K72" s="70" t="n">
        <f aca="false">SUM(C72:J72)</f>
        <v>197.067261755092</v>
      </c>
      <c r="L72" s="75" t="n">
        <f aca="false">K72-M53</f>
        <v>0</v>
      </c>
    </row>
    <row r="73" customFormat="false" ht="15" hidden="false" customHeight="false" outlineLevel="0" collapsed="false">
      <c r="A73" s="6" t="s">
        <v>229</v>
      </c>
      <c r="B73" s="43" t="str">
        <f aca="false">INDEX(Products!$B$2:$B$16,MATCH($A73,Products!$A$2:$A$16,0))</f>
        <v>Induction Cooktop 2000 W</v>
      </c>
      <c r="C73" s="69" t="n">
        <f aca="false">SUMIFS(BOM!$K$2:$K$400,BOM!$B$2:$B$400,$A73,BOM!$D$2:$D$400,C$63)</f>
        <v>214.785492457853</v>
      </c>
      <c r="D73" s="69" t="n">
        <f aca="false">SUMIFS(BOM!$K$2:$K$400,BOM!$B$2:$B$400,$A73,BOM!$D$2:$D$400,D$63)</f>
        <v>0</v>
      </c>
      <c r="E73" s="69" t="n">
        <f aca="false">SUMIFS(BOM!$K$2:$K$400,BOM!$B$2:$B$400,$A73,BOM!$D$2:$D$400,E$63)</f>
        <v>0</v>
      </c>
      <c r="F73" s="69" t="n">
        <f aca="false">SUMIFS(BOM!$K$2:$K$400,BOM!$B$2:$B$400,$A73,BOM!$D$2:$D$400,F$63)</f>
        <v>0</v>
      </c>
      <c r="G73" s="69" t="n">
        <f aca="false">SUMIFS(BOM!$K$2:$K$400,BOM!$B$2:$B$400,$A73,BOM!$D$2:$D$400,G$63)</f>
        <v>0</v>
      </c>
      <c r="H73" s="69" t="n">
        <f aca="false">SUMIFS(BOM!$K$2:$K$400,BOM!$B$2:$B$400,$A73,BOM!$D$2:$D$400,H$63)</f>
        <v>123.842813826562</v>
      </c>
      <c r="I73" s="69" t="n">
        <f aca="false">SUMIFS(BOM!$K$2:$K$400,BOM!$B$2:$B$400,$A73,BOM!$D$2:$D$400,I$63)</f>
        <v>8.625</v>
      </c>
      <c r="J73" s="69" t="n">
        <f aca="false">SUMIFS(BOM!$K$2:$K$400,BOM!$B$2:$B$400,$A73,BOM!$D$2:$D$400,J$63)</f>
        <v>24.1237113402062</v>
      </c>
      <c r="K73" s="70" t="n">
        <f aca="false">SUM(C73:J73)</f>
        <v>371.37701762462</v>
      </c>
      <c r="L73" s="75" t="n">
        <f aca="false">K73-M54</f>
        <v>0</v>
      </c>
    </row>
    <row r="74" customFormat="false" ht="15" hidden="false" customHeight="false" outlineLevel="0" collapsed="false">
      <c r="A74" s="6" t="s">
        <v>233</v>
      </c>
      <c r="B74" s="43" t="str">
        <f aca="false">INDEX(Products!$B$2:$B$16,MATCH($A74,Products!$A$2:$A$16,0))</f>
        <v>Sandwich Maker 750 W</v>
      </c>
      <c r="C74" s="69" t="n">
        <f aca="false">SUMIFS(BOM!$K$2:$K$400,BOM!$B$2:$B$400,$A74,BOM!$D$2:$D$400,C$63)</f>
        <v>0</v>
      </c>
      <c r="D74" s="69" t="n">
        <f aca="false">SUMIFS(BOM!$K$2:$K$400,BOM!$B$2:$B$400,$A74,BOM!$D$2:$D$400,D$63)</f>
        <v>212.664855072464</v>
      </c>
      <c r="E74" s="69" t="n">
        <f aca="false">SUMIFS(BOM!$K$2:$K$400,BOM!$B$2:$B$400,$A74,BOM!$D$2:$D$400,E$63)</f>
        <v>0</v>
      </c>
      <c r="F74" s="69" t="n">
        <f aca="false">SUMIFS(BOM!$K$2:$K$400,BOM!$B$2:$B$400,$A74,BOM!$D$2:$D$400,F$63)</f>
        <v>0</v>
      </c>
      <c r="G74" s="69" t="n">
        <f aca="false">SUMIFS(BOM!$K$2:$K$400,BOM!$B$2:$B$400,$A74,BOM!$D$2:$D$400,G$63)</f>
        <v>0</v>
      </c>
      <c r="H74" s="69" t="n">
        <f aca="false">SUMIFS(BOM!$K$2:$K$400,BOM!$B$2:$B$400,$A74,BOM!$D$2:$D$400,H$63)</f>
        <v>72.4750454821104</v>
      </c>
      <c r="I74" s="69" t="n">
        <f aca="false">SUMIFS(BOM!$K$2:$K$400,BOM!$B$2:$B$400,$A74,BOM!$D$2:$D$400,I$63)</f>
        <v>0</v>
      </c>
      <c r="J74" s="69" t="n">
        <f aca="false">SUMIFS(BOM!$K$2:$K$400,BOM!$B$2:$B$400,$A74,BOM!$D$2:$D$400,J$63)</f>
        <v>17.6907216494845</v>
      </c>
      <c r="K74" s="70" t="n">
        <f aca="false">SUM(C74:J74)</f>
        <v>302.830622204059</v>
      </c>
      <c r="L74" s="75" t="n">
        <f aca="false">K74-M55</f>
        <v>0</v>
      </c>
    </row>
    <row r="75" customFormat="false" ht="15" hidden="false" customHeight="false" outlineLevel="0" collapsed="false">
      <c r="A75" s="6" t="s">
        <v>237</v>
      </c>
      <c r="B75" s="43" t="str">
        <f aca="false">INDEX(Products!$B$2:$B$16,MATCH($A75,Products!$A$2:$A$16,0))</f>
        <v>Fan Room Heater 2000 W</v>
      </c>
      <c r="C75" s="69" t="n">
        <f aca="false">SUMIFS(BOM!$K$2:$K$400,BOM!$B$2:$B$400,$A75,BOM!$D$2:$D$400,C$63)</f>
        <v>114.293287488909</v>
      </c>
      <c r="D75" s="69" t="n">
        <f aca="false">SUMIFS(BOM!$K$2:$K$400,BOM!$B$2:$B$400,$A75,BOM!$D$2:$D$400,D$63)</f>
        <v>108.333333333333</v>
      </c>
      <c r="E75" s="69" t="n">
        <f aca="false">SUMIFS(BOM!$K$2:$K$400,BOM!$B$2:$B$400,$A75,BOM!$D$2:$D$400,E$63)</f>
        <v>0</v>
      </c>
      <c r="F75" s="69" t="n">
        <f aca="false">SUMIFS(BOM!$K$2:$K$400,BOM!$B$2:$B$400,$A75,BOM!$D$2:$D$400,F$63)</f>
        <v>0</v>
      </c>
      <c r="G75" s="69" t="n">
        <f aca="false">SUMIFS(BOM!$K$2:$K$400,BOM!$B$2:$B$400,$A75,BOM!$D$2:$D$400,G$63)</f>
        <v>0</v>
      </c>
      <c r="H75" s="69" t="n">
        <f aca="false">SUMIFS(BOM!$K$2:$K$400,BOM!$B$2:$B$400,$A75,BOM!$D$2:$D$400,H$63)</f>
        <v>171.940600363857</v>
      </c>
      <c r="I75" s="69" t="n">
        <f aca="false">SUMIFS(BOM!$K$2:$K$400,BOM!$B$2:$B$400,$A75,BOM!$D$2:$D$400,I$63)</f>
        <v>17.25</v>
      </c>
      <c r="J75" s="69" t="n">
        <f aca="false">SUMIFS(BOM!$K$2:$K$400,BOM!$B$2:$B$400,$A75,BOM!$D$2:$D$400,J$63)</f>
        <v>29.4845360824742</v>
      </c>
      <c r="K75" s="70" t="n">
        <f aca="false">SUM(C75:J75)</f>
        <v>441.301757268573</v>
      </c>
      <c r="L75" s="75" t="n">
        <f aca="false">K75-M56</f>
        <v>0</v>
      </c>
    </row>
    <row r="76" customFormat="false" ht="15" hidden="false" customHeight="false" outlineLevel="0" collapsed="false">
      <c r="A76" s="6" t="s">
        <v>243</v>
      </c>
      <c r="B76" s="43" t="str">
        <f aca="false">INDEX(Products!$B$2:$B$16,MATCH($A76,Products!$A$2:$A$16,0))</f>
        <v>Immersion Water Heater Rod 1500 W</v>
      </c>
      <c r="C76" s="69" t="n">
        <f aca="false">SUMIFS(BOM!$K$2:$K$400,BOM!$B$2:$B$400,$A76,BOM!$D$2:$D$400,C$63)</f>
        <v>0</v>
      </c>
      <c r="D76" s="69" t="n">
        <f aca="false">SUMIFS(BOM!$K$2:$K$400,BOM!$B$2:$B$400,$A76,BOM!$D$2:$D$400,D$63)</f>
        <v>82.6280487804878</v>
      </c>
      <c r="E76" s="69" t="n">
        <f aca="false">SUMIFS(BOM!$K$2:$K$400,BOM!$B$2:$B$400,$A76,BOM!$D$2:$D$400,E$63)</f>
        <v>0</v>
      </c>
      <c r="F76" s="69" t="n">
        <f aca="false">SUMIFS(BOM!$K$2:$K$400,BOM!$B$2:$B$400,$A76,BOM!$D$2:$D$400,F$63)</f>
        <v>0</v>
      </c>
      <c r="G76" s="69" t="n">
        <f aca="false">SUMIFS(BOM!$K$2:$K$400,BOM!$B$2:$B$400,$A76,BOM!$D$2:$D$400,G$63)</f>
        <v>0</v>
      </c>
      <c r="H76" s="69" t="n">
        <f aca="false">SUMIFS(BOM!$K$2:$K$400,BOM!$B$2:$B$400,$A76,BOM!$D$2:$D$400,H$63)</f>
        <v>6.61855670103093</v>
      </c>
      <c r="I76" s="69" t="n">
        <f aca="false">SUMIFS(BOM!$K$2:$K$400,BOM!$B$2:$B$400,$A76,BOM!$D$2:$D$400,I$63)</f>
        <v>0</v>
      </c>
      <c r="J76" s="69" t="n">
        <f aca="false">SUMIFS(BOM!$K$2:$K$400,BOM!$B$2:$B$400,$A76,BOM!$D$2:$D$400,J$63)</f>
        <v>6.43298969072165</v>
      </c>
      <c r="K76" s="70" t="n">
        <f aca="false">SUM(C76:J76)</f>
        <v>95.6795951722404</v>
      </c>
      <c r="L76" s="75" t="n">
        <f aca="false">K76-M57</f>
        <v>0</v>
      </c>
    </row>
    <row r="77" customFormat="false" ht="15" hidden="false" customHeight="false" outlineLevel="0" collapsed="false">
      <c r="A77" s="6" t="s">
        <v>247</v>
      </c>
      <c r="B77" s="43" t="str">
        <f aca="false">INDEX(Products!$B$2:$B$16,MATCH($A77,Products!$A$2:$A$16,0))</f>
        <v>Dry Iron 1000 W</v>
      </c>
      <c r="C77" s="69" t="n">
        <f aca="false">SUMIFS(BOM!$K$2:$K$400,BOM!$B$2:$B$400,$A77,BOM!$D$2:$D$400,C$63)</f>
        <v>0</v>
      </c>
      <c r="D77" s="69" t="n">
        <f aca="false">SUMIFS(BOM!$K$2:$K$400,BOM!$B$2:$B$400,$A77,BOM!$D$2:$D$400,D$63)</f>
        <v>147.150362318841</v>
      </c>
      <c r="E77" s="69" t="n">
        <f aca="false">SUMIFS(BOM!$K$2:$K$400,BOM!$B$2:$B$400,$A77,BOM!$D$2:$D$400,E$63)</f>
        <v>0</v>
      </c>
      <c r="F77" s="69" t="n">
        <f aca="false">SUMIFS(BOM!$K$2:$K$400,BOM!$B$2:$B$400,$A77,BOM!$D$2:$D$400,F$63)</f>
        <v>0</v>
      </c>
      <c r="G77" s="69" t="n">
        <f aca="false">SUMIFS(BOM!$K$2:$K$400,BOM!$B$2:$B$400,$A77,BOM!$D$2:$D$400,G$63)</f>
        <v>0</v>
      </c>
      <c r="H77" s="69" t="n">
        <f aca="false">SUMIFS(BOM!$K$2:$K$400,BOM!$B$2:$B$400,$A77,BOM!$D$2:$D$400,H$63)</f>
        <v>50.4791267434809</v>
      </c>
      <c r="I77" s="69" t="n">
        <f aca="false">SUMIFS(BOM!$K$2:$K$400,BOM!$B$2:$B$400,$A77,BOM!$D$2:$D$400,I$63)</f>
        <v>0</v>
      </c>
      <c r="J77" s="69" t="n">
        <f aca="false">SUMIFS(BOM!$K$2:$K$400,BOM!$B$2:$B$400,$A77,BOM!$D$2:$D$400,J$63)</f>
        <v>16.0824742268041</v>
      </c>
      <c r="K77" s="70" t="n">
        <f aca="false">SUM(C77:J77)</f>
        <v>213.711963289126</v>
      </c>
      <c r="L77" s="75" t="n">
        <f aca="false">K77-M58</f>
        <v>0</v>
      </c>
    </row>
    <row r="78" customFormat="false" ht="15" hidden="false" customHeight="false" outlineLevel="0" collapsed="false">
      <c r="A78" s="6" t="s">
        <v>251</v>
      </c>
      <c r="B78" s="43" t="str">
        <f aca="false">INDEX(Products!$B$2:$B$16,MATCH($A78,Products!$A$2:$A$16,0))</f>
        <v>Water Pump 0.5 HP Monoblock</v>
      </c>
      <c r="C78" s="69" t="n">
        <f aca="false">SUMIFS(BOM!$K$2:$K$400,BOM!$B$2:$B$400,$A78,BOM!$D$2:$D$400,C$63)</f>
        <v>1357.67346938776</v>
      </c>
      <c r="D78" s="69" t="n">
        <f aca="false">SUMIFS(BOM!$K$2:$K$400,BOM!$B$2:$B$400,$A78,BOM!$D$2:$D$400,D$63)</f>
        <v>0</v>
      </c>
      <c r="E78" s="69" t="n">
        <f aca="false">SUMIFS(BOM!$K$2:$K$400,BOM!$B$2:$B$400,$A78,BOM!$D$2:$D$400,E$63)</f>
        <v>445.726735796045</v>
      </c>
      <c r="F78" s="69" t="n">
        <f aca="false">SUMIFS(BOM!$K$2:$K$400,BOM!$B$2:$B$400,$A78,BOM!$D$2:$D$400,F$63)</f>
        <v>0</v>
      </c>
      <c r="G78" s="69" t="n">
        <f aca="false">SUMIFS(BOM!$K$2:$K$400,BOM!$B$2:$B$400,$A78,BOM!$D$2:$D$400,G$63)</f>
        <v>0</v>
      </c>
      <c r="H78" s="69" t="n">
        <f aca="false">SUMIFS(BOM!$K$2:$K$400,BOM!$B$2:$B$400,$A78,BOM!$D$2:$D$400,H$63)</f>
        <v>54.8882352941177</v>
      </c>
      <c r="I78" s="69" t="n">
        <f aca="false">SUMIFS(BOM!$K$2:$K$400,BOM!$B$2:$B$400,$A78,BOM!$D$2:$D$400,I$63)</f>
        <v>25.875</v>
      </c>
      <c r="J78" s="69" t="n">
        <f aca="false">SUMIFS(BOM!$K$2:$K$400,BOM!$B$2:$B$400,$A78,BOM!$D$2:$D$400,J$63)</f>
        <v>45.5670103092784</v>
      </c>
      <c r="K78" s="70" t="n">
        <f aca="false">SUM(C78:J78)</f>
        <v>1929.7304507872</v>
      </c>
      <c r="L78" s="75" t="n">
        <f aca="false">K78-M59</f>
        <v>0</v>
      </c>
    </row>
  </sheetData>
  <mergeCells count="1">
    <mergeCell ref="A21:B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R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30"/>
    <col collapsed="false" customWidth="true" hidden="false" outlineLevel="0" max="4" min="4" style="0" width="13"/>
    <col collapsed="false" customWidth="true" hidden="false" outlineLevel="0" max="16" min="5" style="0" width="10.51"/>
    <col collapsed="false" customWidth="true" hidden="false" outlineLevel="0" max="17" min="17" style="0" width="13"/>
    <col collapsed="false" customWidth="true" hidden="false" outlineLevel="0" max="18" min="18" style="0" width="11"/>
  </cols>
  <sheetData>
    <row r="1" customFormat="false" ht="24" hidden="false" customHeight="true" outlineLevel="0" collapsed="false">
      <c r="A1" s="34" t="s">
        <v>668</v>
      </c>
    </row>
    <row r="2" customFormat="false" ht="15" hidden="false" customHeight="false" outlineLevel="0" collapsed="false">
      <c r="A2" s="35" t="s">
        <v>669</v>
      </c>
    </row>
    <row r="3" customFormat="false" ht="15" hidden="false" customHeight="false" outlineLevel="0" collapsed="false">
      <c r="A3" s="28" t="s">
        <v>670</v>
      </c>
      <c r="D3" s="76" t="n">
        <f aca="false">Assumptions!$B$10</f>
        <v>1</v>
      </c>
    </row>
    <row r="4" customFormat="false" ht="19.5" hidden="false" customHeight="true" outlineLevel="0" collapsed="false">
      <c r="A4" s="3" t="s">
        <v>671</v>
      </c>
      <c r="B4" s="4"/>
      <c r="C4" s="4"/>
      <c r="D4" s="4"/>
      <c r="E4" s="4"/>
      <c r="F4" s="4"/>
      <c r="G4" s="4"/>
      <c r="H4" s="4"/>
      <c r="I4" s="4"/>
      <c r="J4" s="4"/>
      <c r="K4" s="4"/>
      <c r="L4" s="4"/>
      <c r="M4" s="4"/>
      <c r="N4" s="4"/>
      <c r="O4" s="4"/>
      <c r="P4" s="4"/>
      <c r="Q4" s="4"/>
      <c r="R4" s="4"/>
    </row>
    <row r="5" customFormat="false" ht="30" hidden="false" customHeight="true" outlineLevel="0" collapsed="false">
      <c r="A5" s="8" t="s">
        <v>172</v>
      </c>
      <c r="B5" s="8" t="s">
        <v>118</v>
      </c>
      <c r="C5" s="8" t="s">
        <v>672</v>
      </c>
      <c r="D5" s="8" t="s">
        <v>673</v>
      </c>
      <c r="E5" s="25" t="n">
        <f aca="false">Assumptions!$B$8</f>
        <v>46327</v>
      </c>
      <c r="F5" s="25" t="n">
        <f aca="false">EDATE(E5,1)</f>
        <v>46357</v>
      </c>
      <c r="G5" s="25" t="n">
        <f aca="false">EDATE(F5,1)</f>
        <v>46388</v>
      </c>
      <c r="H5" s="25" t="n">
        <f aca="false">EDATE(G5,1)</f>
        <v>46419</v>
      </c>
      <c r="I5" s="25" t="n">
        <f aca="false">EDATE(H5,1)</f>
        <v>46447</v>
      </c>
      <c r="J5" s="25" t="n">
        <f aca="false">EDATE(I5,1)</f>
        <v>46478</v>
      </c>
      <c r="K5" s="25" t="n">
        <f aca="false">EDATE(J5,1)</f>
        <v>46508</v>
      </c>
      <c r="L5" s="25" t="n">
        <f aca="false">EDATE(K5,1)</f>
        <v>46539</v>
      </c>
      <c r="M5" s="25" t="n">
        <f aca="false">EDATE(L5,1)</f>
        <v>46569</v>
      </c>
      <c r="N5" s="25" t="n">
        <f aca="false">EDATE(M5,1)</f>
        <v>46600</v>
      </c>
      <c r="O5" s="25" t="n">
        <f aca="false">EDATE(N5,1)</f>
        <v>46631</v>
      </c>
      <c r="P5" s="25" t="n">
        <f aca="false">EDATE(O5,1)</f>
        <v>46661</v>
      </c>
    </row>
    <row r="6" customFormat="false" ht="15" hidden="false" customHeight="false" outlineLevel="0" collapsed="false">
      <c r="A6" s="6" t="s">
        <v>191</v>
      </c>
      <c r="B6" s="43" t="str">
        <f aca="false">INDEX(Products!$B$2:$B$16,MATCH($A6,Products!$A$2:$A$16,0))</f>
        <v>Ceiling Fan 1200 mm - Induction</v>
      </c>
      <c r="C6" s="7" t="s">
        <v>674</v>
      </c>
      <c r="D6" s="77" t="n">
        <f aca="false">AVERAGE(E6:P6)</f>
        <v>1</v>
      </c>
      <c r="E6" s="78" t="n">
        <v>0.55</v>
      </c>
      <c r="F6" s="78" t="n">
        <v>0.45</v>
      </c>
      <c r="G6" s="78" t="n">
        <v>0.5</v>
      </c>
      <c r="H6" s="78" t="n">
        <v>0.85</v>
      </c>
      <c r="I6" s="78" t="n">
        <v>1.45</v>
      </c>
      <c r="J6" s="78" t="n">
        <v>1.75</v>
      </c>
      <c r="K6" s="78" t="n">
        <v>1.65</v>
      </c>
      <c r="L6" s="78" t="n">
        <v>1.3</v>
      </c>
      <c r="M6" s="78" t="n">
        <v>0.85</v>
      </c>
      <c r="N6" s="78" t="n">
        <v>0.75</v>
      </c>
      <c r="O6" s="78" t="n">
        <v>0.95</v>
      </c>
      <c r="P6" s="78" t="n">
        <v>0.95</v>
      </c>
    </row>
    <row r="7" customFormat="false" ht="15" hidden="false" customHeight="false" outlineLevel="0" collapsed="false">
      <c r="A7" s="6" t="s">
        <v>197</v>
      </c>
      <c r="B7" s="43" t="str">
        <f aca="false">INDEX(Products!$B$2:$B$16,MATCH($A7,Products!$A$2:$A$16,0))</f>
        <v>Ceiling Fan 1200 mm - BLDC</v>
      </c>
      <c r="C7" s="7" t="s">
        <v>674</v>
      </c>
      <c r="D7" s="77" t="n">
        <f aca="false">AVERAGE(E7:P7)</f>
        <v>1</v>
      </c>
      <c r="E7" s="78" t="n">
        <v>0.55</v>
      </c>
      <c r="F7" s="78" t="n">
        <v>0.45</v>
      </c>
      <c r="G7" s="78" t="n">
        <v>0.5</v>
      </c>
      <c r="H7" s="78" t="n">
        <v>0.85</v>
      </c>
      <c r="I7" s="78" t="n">
        <v>1.45</v>
      </c>
      <c r="J7" s="78" t="n">
        <v>1.75</v>
      </c>
      <c r="K7" s="78" t="n">
        <v>1.65</v>
      </c>
      <c r="L7" s="78" t="n">
        <v>1.3</v>
      </c>
      <c r="M7" s="78" t="n">
        <v>0.85</v>
      </c>
      <c r="N7" s="78" t="n">
        <v>0.75</v>
      </c>
      <c r="O7" s="78" t="n">
        <v>0.95</v>
      </c>
      <c r="P7" s="78" t="n">
        <v>0.95</v>
      </c>
    </row>
    <row r="8" customFormat="false" ht="15" hidden="false" customHeight="false" outlineLevel="0" collapsed="false">
      <c r="A8" s="6" t="s">
        <v>201</v>
      </c>
      <c r="B8" s="43" t="str">
        <f aca="false">INDEX(Products!$B$2:$B$16,MATCH($A8,Products!$A$2:$A$16,0))</f>
        <v>Pedestal Fan 400 mm</v>
      </c>
      <c r="C8" s="7" t="s">
        <v>674</v>
      </c>
      <c r="D8" s="77" t="n">
        <f aca="false">AVERAGE(E8:P8)</f>
        <v>1</v>
      </c>
      <c r="E8" s="78" t="n">
        <v>0.65</v>
      </c>
      <c r="F8" s="78" t="n">
        <v>0.55</v>
      </c>
      <c r="G8" s="78" t="n">
        <v>0.6</v>
      </c>
      <c r="H8" s="78" t="n">
        <v>0.9</v>
      </c>
      <c r="I8" s="78" t="n">
        <v>1.4</v>
      </c>
      <c r="J8" s="78" t="n">
        <v>1.6</v>
      </c>
      <c r="K8" s="78" t="n">
        <v>1.5</v>
      </c>
      <c r="L8" s="78" t="n">
        <v>1.2</v>
      </c>
      <c r="M8" s="78" t="n">
        <v>0.9</v>
      </c>
      <c r="N8" s="78" t="n">
        <v>0.8</v>
      </c>
      <c r="O8" s="78" t="n">
        <v>0.95</v>
      </c>
      <c r="P8" s="78" t="n">
        <v>0.95</v>
      </c>
    </row>
    <row r="9" customFormat="false" ht="15" hidden="false" customHeight="false" outlineLevel="0" collapsed="false">
      <c r="A9" s="6" t="s">
        <v>205</v>
      </c>
      <c r="B9" s="43" t="str">
        <f aca="false">INDEX(Products!$B$2:$B$16,MATCH($A9,Products!$A$2:$A$16,0))</f>
        <v>Table Fan 400 mm</v>
      </c>
      <c r="C9" s="7" t="s">
        <v>674</v>
      </c>
      <c r="D9" s="77" t="n">
        <f aca="false">AVERAGE(E9:P9)</f>
        <v>1</v>
      </c>
      <c r="E9" s="78" t="n">
        <v>0.65</v>
      </c>
      <c r="F9" s="78" t="n">
        <v>0.55</v>
      </c>
      <c r="G9" s="78" t="n">
        <v>0.6</v>
      </c>
      <c r="H9" s="78" t="n">
        <v>0.9</v>
      </c>
      <c r="I9" s="78" t="n">
        <v>1.4</v>
      </c>
      <c r="J9" s="78" t="n">
        <v>1.6</v>
      </c>
      <c r="K9" s="78" t="n">
        <v>1.5</v>
      </c>
      <c r="L9" s="78" t="n">
        <v>1.2</v>
      </c>
      <c r="M9" s="78" t="n">
        <v>0.9</v>
      </c>
      <c r="N9" s="78" t="n">
        <v>0.8</v>
      </c>
      <c r="O9" s="78" t="n">
        <v>0.95</v>
      </c>
      <c r="P9" s="78" t="n">
        <v>0.95</v>
      </c>
    </row>
    <row r="10" customFormat="false" ht="15" hidden="false" customHeight="false" outlineLevel="0" collapsed="false">
      <c r="A10" s="6" t="s">
        <v>208</v>
      </c>
      <c r="B10" s="43" t="str">
        <f aca="false">INDEX(Products!$B$2:$B$16,MATCH($A10,Products!$A$2:$A$16,0))</f>
        <v>Exhaust Fan 230 mm</v>
      </c>
      <c r="C10" s="7" t="s">
        <v>675</v>
      </c>
      <c r="D10" s="77" t="n">
        <f aca="false">AVERAGE(E10:P10)</f>
        <v>1</v>
      </c>
      <c r="E10" s="78" t="n">
        <v>0.9</v>
      </c>
      <c r="F10" s="78" t="n">
        <v>0.85</v>
      </c>
      <c r="G10" s="78" t="n">
        <v>0.85</v>
      </c>
      <c r="H10" s="78" t="n">
        <v>0.95</v>
      </c>
      <c r="I10" s="78" t="n">
        <v>1.15</v>
      </c>
      <c r="J10" s="78" t="n">
        <v>1.2</v>
      </c>
      <c r="K10" s="78" t="n">
        <v>1.2</v>
      </c>
      <c r="L10" s="78" t="n">
        <v>1.1</v>
      </c>
      <c r="M10" s="78" t="n">
        <v>0.95</v>
      </c>
      <c r="N10" s="78" t="n">
        <v>0.9</v>
      </c>
      <c r="O10" s="78" t="n">
        <v>0.95</v>
      </c>
      <c r="P10" s="78" t="n">
        <v>1</v>
      </c>
    </row>
    <row r="11" customFormat="false" ht="15" hidden="false" customHeight="false" outlineLevel="0" collapsed="false">
      <c r="A11" s="6" t="s">
        <v>212</v>
      </c>
      <c r="B11" s="43" t="str">
        <f aca="false">INDEX(Products!$B$2:$B$16,MATCH($A11,Products!$A$2:$A$16,0))</f>
        <v>Personal Air Cooler 30 L</v>
      </c>
      <c r="C11" s="7" t="s">
        <v>676</v>
      </c>
      <c r="D11" s="77" t="n">
        <f aca="false">AVERAGE(E11:P11)</f>
        <v>1</v>
      </c>
      <c r="E11" s="78" t="n">
        <v>0.1</v>
      </c>
      <c r="F11" s="78" t="n">
        <v>0.05</v>
      </c>
      <c r="G11" s="78" t="n">
        <v>0.1</v>
      </c>
      <c r="H11" s="78" t="n">
        <v>0.6</v>
      </c>
      <c r="I11" s="78" t="n">
        <v>2.2</v>
      </c>
      <c r="J11" s="78" t="n">
        <v>3</v>
      </c>
      <c r="K11" s="78" t="n">
        <v>2.7</v>
      </c>
      <c r="L11" s="78" t="n">
        <v>1.6</v>
      </c>
      <c r="M11" s="78" t="n">
        <v>0.8</v>
      </c>
      <c r="N11" s="78" t="n">
        <v>0.4</v>
      </c>
      <c r="O11" s="78" t="n">
        <v>0.35</v>
      </c>
      <c r="P11" s="78" t="n">
        <v>0.1</v>
      </c>
    </row>
    <row r="12" customFormat="false" ht="15" hidden="false" customHeight="false" outlineLevel="0" collapsed="false">
      <c r="A12" s="6" t="s">
        <v>216</v>
      </c>
      <c r="B12" s="43" t="str">
        <f aca="false">INDEX(Products!$B$2:$B$16,MATCH($A12,Products!$A$2:$A$16,0))</f>
        <v>Mixer Grinder 500 W</v>
      </c>
      <c r="C12" s="7" t="s">
        <v>677</v>
      </c>
      <c r="D12" s="77" t="n">
        <f aca="false">AVERAGE(E12:P12)</f>
        <v>1</v>
      </c>
      <c r="E12" s="78" t="n">
        <v>1.35</v>
      </c>
      <c r="F12" s="78" t="n">
        <v>1.1</v>
      </c>
      <c r="G12" s="78" t="n">
        <v>0.95</v>
      </c>
      <c r="H12" s="78" t="n">
        <v>1.05</v>
      </c>
      <c r="I12" s="78" t="n">
        <v>0.95</v>
      </c>
      <c r="J12" s="78" t="n">
        <v>0.85</v>
      </c>
      <c r="K12" s="78" t="n">
        <v>0.85</v>
      </c>
      <c r="L12" s="78" t="n">
        <v>0.85</v>
      </c>
      <c r="M12" s="78" t="n">
        <v>0.85</v>
      </c>
      <c r="N12" s="78" t="n">
        <v>0.9</v>
      </c>
      <c r="O12" s="78" t="n">
        <v>1</v>
      </c>
      <c r="P12" s="78" t="n">
        <v>1.3</v>
      </c>
    </row>
    <row r="13" customFormat="false" ht="15" hidden="false" customHeight="false" outlineLevel="0" collapsed="false">
      <c r="A13" s="6" t="s">
        <v>222</v>
      </c>
      <c r="B13" s="43" t="str">
        <f aca="false">INDEX(Products!$B$2:$B$16,MATCH($A13,Products!$A$2:$A$16,0))</f>
        <v>Mixer Grinder 750 W</v>
      </c>
      <c r="C13" s="7" t="s">
        <v>677</v>
      </c>
      <c r="D13" s="77" t="n">
        <f aca="false">AVERAGE(E13:P13)</f>
        <v>1</v>
      </c>
      <c r="E13" s="78" t="n">
        <v>1.35</v>
      </c>
      <c r="F13" s="78" t="n">
        <v>1.1</v>
      </c>
      <c r="G13" s="78" t="n">
        <v>0.95</v>
      </c>
      <c r="H13" s="78" t="n">
        <v>1.05</v>
      </c>
      <c r="I13" s="78" t="n">
        <v>0.95</v>
      </c>
      <c r="J13" s="78" t="n">
        <v>0.85</v>
      </c>
      <c r="K13" s="78" t="n">
        <v>0.85</v>
      </c>
      <c r="L13" s="78" t="n">
        <v>0.85</v>
      </c>
      <c r="M13" s="78" t="n">
        <v>0.85</v>
      </c>
      <c r="N13" s="78" t="n">
        <v>0.9</v>
      </c>
      <c r="O13" s="78" t="n">
        <v>1</v>
      </c>
      <c r="P13" s="78" t="n">
        <v>1.3</v>
      </c>
    </row>
    <row r="14" customFormat="false" ht="15" hidden="false" customHeight="false" outlineLevel="0" collapsed="false">
      <c r="A14" s="6" t="s">
        <v>225</v>
      </c>
      <c r="B14" s="43" t="str">
        <f aca="false">INDEX(Products!$B$2:$B$16,MATCH($A14,Products!$A$2:$A$16,0))</f>
        <v>Electric Kettle 1.5 L</v>
      </c>
      <c r="C14" s="7" t="s">
        <v>678</v>
      </c>
      <c r="D14" s="77" t="n">
        <f aca="false">AVERAGE(E14:P14)</f>
        <v>1</v>
      </c>
      <c r="E14" s="78" t="n">
        <v>1.25</v>
      </c>
      <c r="F14" s="78" t="n">
        <v>1.45</v>
      </c>
      <c r="G14" s="78" t="n">
        <v>1.4</v>
      </c>
      <c r="H14" s="78" t="n">
        <v>1.1</v>
      </c>
      <c r="I14" s="78" t="n">
        <v>0.85</v>
      </c>
      <c r="J14" s="78" t="n">
        <v>0.7</v>
      </c>
      <c r="K14" s="78" t="n">
        <v>0.65</v>
      </c>
      <c r="L14" s="78" t="n">
        <v>0.7</v>
      </c>
      <c r="M14" s="78" t="n">
        <v>0.8</v>
      </c>
      <c r="N14" s="78" t="n">
        <v>0.85</v>
      </c>
      <c r="O14" s="78" t="n">
        <v>0.95</v>
      </c>
      <c r="P14" s="78" t="n">
        <v>1.3</v>
      </c>
    </row>
    <row r="15" customFormat="false" ht="15" hidden="false" customHeight="false" outlineLevel="0" collapsed="false">
      <c r="A15" s="6" t="s">
        <v>229</v>
      </c>
      <c r="B15" s="43" t="str">
        <f aca="false">INDEX(Products!$B$2:$B$16,MATCH($A15,Products!$A$2:$A$16,0))</f>
        <v>Induction Cooktop 2000 W</v>
      </c>
      <c r="C15" s="7" t="s">
        <v>679</v>
      </c>
      <c r="D15" s="77" t="n">
        <f aca="false">AVERAGE(E15:P15)</f>
        <v>1</v>
      </c>
      <c r="E15" s="78" t="n">
        <v>1.3</v>
      </c>
      <c r="F15" s="78" t="n">
        <v>1.05</v>
      </c>
      <c r="G15" s="78" t="n">
        <v>0.95</v>
      </c>
      <c r="H15" s="78" t="n">
        <v>0.95</v>
      </c>
      <c r="I15" s="78" t="n">
        <v>0.9</v>
      </c>
      <c r="J15" s="78" t="n">
        <v>0.85</v>
      </c>
      <c r="K15" s="78" t="n">
        <v>0.85</v>
      </c>
      <c r="L15" s="78" t="n">
        <v>0.9</v>
      </c>
      <c r="M15" s="78" t="n">
        <v>0.9</v>
      </c>
      <c r="N15" s="78" t="n">
        <v>0.95</v>
      </c>
      <c r="O15" s="78" t="n">
        <v>1.05</v>
      </c>
      <c r="P15" s="78" t="n">
        <v>1.35</v>
      </c>
    </row>
    <row r="16" customFormat="false" ht="15" hidden="false" customHeight="false" outlineLevel="0" collapsed="false">
      <c r="A16" s="6" t="s">
        <v>233</v>
      </c>
      <c r="B16" s="43" t="str">
        <f aca="false">INDEX(Products!$B$2:$B$16,MATCH($A16,Products!$A$2:$A$16,0))</f>
        <v>Sandwich Maker 750 W</v>
      </c>
      <c r="C16" s="7" t="s">
        <v>680</v>
      </c>
      <c r="D16" s="77" t="n">
        <f aca="false">AVERAGE(E16:P16)</f>
        <v>1</v>
      </c>
      <c r="E16" s="78" t="n">
        <v>1.2</v>
      </c>
      <c r="F16" s="78" t="n">
        <v>1.15</v>
      </c>
      <c r="G16" s="78" t="n">
        <v>1.1</v>
      </c>
      <c r="H16" s="78" t="n">
        <v>1</v>
      </c>
      <c r="I16" s="78" t="n">
        <v>0.9</v>
      </c>
      <c r="J16" s="78" t="n">
        <v>0.8</v>
      </c>
      <c r="K16" s="78" t="n">
        <v>0.8</v>
      </c>
      <c r="L16" s="78" t="n">
        <v>0.85</v>
      </c>
      <c r="M16" s="78" t="n">
        <v>0.9</v>
      </c>
      <c r="N16" s="78" t="n">
        <v>0.95</v>
      </c>
      <c r="O16" s="78" t="n">
        <v>1.05</v>
      </c>
      <c r="P16" s="78" t="n">
        <v>1.3</v>
      </c>
    </row>
    <row r="17" customFormat="false" ht="15" hidden="false" customHeight="false" outlineLevel="0" collapsed="false">
      <c r="A17" s="6" t="s">
        <v>237</v>
      </c>
      <c r="B17" s="43" t="str">
        <f aca="false">INDEX(Products!$B$2:$B$16,MATCH($A17,Products!$A$2:$A$16,0))</f>
        <v>Fan Room Heater 2000 W</v>
      </c>
      <c r="C17" s="7" t="s">
        <v>681</v>
      </c>
      <c r="D17" s="77" t="n">
        <f aca="false">AVERAGE(E17:P17)</f>
        <v>1</v>
      </c>
      <c r="E17" s="78" t="n">
        <v>2.2</v>
      </c>
      <c r="F17" s="78" t="n">
        <v>3</v>
      </c>
      <c r="G17" s="78" t="n">
        <v>3.1</v>
      </c>
      <c r="H17" s="78" t="n">
        <v>1.7</v>
      </c>
      <c r="I17" s="78" t="n">
        <v>0.4</v>
      </c>
      <c r="J17" s="78" t="n">
        <v>0.1</v>
      </c>
      <c r="K17" s="78" t="n">
        <v>0.05</v>
      </c>
      <c r="L17" s="78" t="n">
        <v>0.05</v>
      </c>
      <c r="M17" s="78" t="n">
        <v>0.05</v>
      </c>
      <c r="N17" s="78" t="n">
        <v>0.1</v>
      </c>
      <c r="O17" s="78" t="n">
        <v>0.35</v>
      </c>
      <c r="P17" s="78" t="n">
        <v>0.9</v>
      </c>
    </row>
    <row r="18" customFormat="false" ht="15" hidden="false" customHeight="false" outlineLevel="0" collapsed="false">
      <c r="A18" s="6" t="s">
        <v>243</v>
      </c>
      <c r="B18" s="43" t="str">
        <f aca="false">INDEX(Products!$B$2:$B$16,MATCH($A18,Products!$A$2:$A$16,0))</f>
        <v>Immersion Water Heater Rod 1500 W</v>
      </c>
      <c r="C18" s="7" t="s">
        <v>681</v>
      </c>
      <c r="D18" s="77" t="n">
        <f aca="false">AVERAGE(E18:P18)</f>
        <v>1</v>
      </c>
      <c r="E18" s="78" t="n">
        <v>1.8</v>
      </c>
      <c r="F18" s="78" t="n">
        <v>2.3</v>
      </c>
      <c r="G18" s="78" t="n">
        <v>2.4</v>
      </c>
      <c r="H18" s="78" t="n">
        <v>1.6</v>
      </c>
      <c r="I18" s="78" t="n">
        <v>0.7</v>
      </c>
      <c r="J18" s="78" t="n">
        <v>0.3</v>
      </c>
      <c r="K18" s="78" t="n">
        <v>0.2</v>
      </c>
      <c r="L18" s="78" t="n">
        <v>0.2</v>
      </c>
      <c r="M18" s="78" t="n">
        <v>0.25</v>
      </c>
      <c r="N18" s="78" t="n">
        <v>0.3</v>
      </c>
      <c r="O18" s="78" t="n">
        <v>0.5</v>
      </c>
      <c r="P18" s="78" t="n">
        <v>1.45</v>
      </c>
    </row>
    <row r="19" customFormat="false" ht="15" hidden="false" customHeight="false" outlineLevel="0" collapsed="false">
      <c r="A19" s="6" t="s">
        <v>247</v>
      </c>
      <c r="B19" s="43" t="str">
        <f aca="false">INDEX(Products!$B$2:$B$16,MATCH($A19,Products!$A$2:$A$16,0))</f>
        <v>Dry Iron 1000 W</v>
      </c>
      <c r="C19" s="7" t="s">
        <v>682</v>
      </c>
      <c r="D19" s="77" t="n">
        <f aca="false">AVERAGE(E19:P19)</f>
        <v>1</v>
      </c>
      <c r="E19" s="78" t="n">
        <v>1.15</v>
      </c>
      <c r="F19" s="78" t="n">
        <v>1.05</v>
      </c>
      <c r="G19" s="78" t="n">
        <v>1</v>
      </c>
      <c r="H19" s="78" t="n">
        <v>1</v>
      </c>
      <c r="I19" s="78" t="n">
        <v>1</v>
      </c>
      <c r="J19" s="78" t="n">
        <v>0.9</v>
      </c>
      <c r="K19" s="78" t="n">
        <v>0.85</v>
      </c>
      <c r="L19" s="78" t="n">
        <v>0.9</v>
      </c>
      <c r="M19" s="78" t="n">
        <v>0.95</v>
      </c>
      <c r="N19" s="78" t="n">
        <v>1</v>
      </c>
      <c r="O19" s="78" t="n">
        <v>1.05</v>
      </c>
      <c r="P19" s="78" t="n">
        <v>1.15</v>
      </c>
    </row>
    <row r="20" customFormat="false" ht="15" hidden="false" customHeight="false" outlineLevel="0" collapsed="false">
      <c r="A20" s="6" t="s">
        <v>251</v>
      </c>
      <c r="B20" s="43" t="str">
        <f aca="false">INDEX(Products!$B$2:$B$16,MATCH($A20,Products!$A$2:$A$16,0))</f>
        <v>Water Pump 0.5 HP Monoblock</v>
      </c>
      <c r="C20" s="7" t="s">
        <v>683</v>
      </c>
      <c r="D20" s="77" t="n">
        <f aca="false">AVERAGE(E20:P20)</f>
        <v>1</v>
      </c>
      <c r="E20" s="78" t="n">
        <v>0.85</v>
      </c>
      <c r="F20" s="78" t="n">
        <v>0.8</v>
      </c>
      <c r="G20" s="78" t="n">
        <v>0.85</v>
      </c>
      <c r="H20" s="78" t="n">
        <v>0.95</v>
      </c>
      <c r="I20" s="78" t="n">
        <v>1.2</v>
      </c>
      <c r="J20" s="78" t="n">
        <v>1.35</v>
      </c>
      <c r="K20" s="78" t="n">
        <v>1.35</v>
      </c>
      <c r="L20" s="78" t="n">
        <v>1.25</v>
      </c>
      <c r="M20" s="78" t="n">
        <v>1</v>
      </c>
      <c r="N20" s="78" t="n">
        <v>0.85</v>
      </c>
      <c r="O20" s="78" t="n">
        <v>0.75</v>
      </c>
      <c r="P20" s="78" t="n">
        <v>0.8</v>
      </c>
    </row>
    <row r="22" customFormat="false" ht="19.5" hidden="false" customHeight="true" outlineLevel="0" collapsed="false">
      <c r="A22" s="3" t="s">
        <v>684</v>
      </c>
      <c r="B22" s="4"/>
      <c r="C22" s="4"/>
      <c r="D22" s="4"/>
      <c r="E22" s="4"/>
      <c r="F22" s="4"/>
      <c r="G22" s="4"/>
      <c r="H22" s="4"/>
      <c r="I22" s="4"/>
      <c r="J22" s="4"/>
      <c r="K22" s="4"/>
      <c r="L22" s="4"/>
      <c r="M22" s="4"/>
      <c r="N22" s="4"/>
      <c r="O22" s="4"/>
      <c r="P22" s="4"/>
      <c r="Q22" s="4"/>
      <c r="R22" s="4"/>
    </row>
    <row r="23" customFormat="false" ht="43.5" hidden="false" customHeight="true" outlineLevel="0" collapsed="false">
      <c r="A23" s="8" t="s">
        <v>172</v>
      </c>
      <c r="B23" s="8" t="s">
        <v>118</v>
      </c>
      <c r="C23" s="8" t="s">
        <v>178</v>
      </c>
      <c r="D23" s="8" t="s">
        <v>685</v>
      </c>
      <c r="E23" s="25" t="n">
        <f aca="false">E$5</f>
        <v>46327</v>
      </c>
      <c r="F23" s="25" t="n">
        <f aca="false">F$5</f>
        <v>46357</v>
      </c>
      <c r="G23" s="25" t="n">
        <f aca="false">G$5</f>
        <v>46388</v>
      </c>
      <c r="H23" s="25" t="n">
        <f aca="false">H$5</f>
        <v>46419</v>
      </c>
      <c r="I23" s="25" t="n">
        <f aca="false">I$5</f>
        <v>46447</v>
      </c>
      <c r="J23" s="25" t="n">
        <f aca="false">J$5</f>
        <v>46478</v>
      </c>
      <c r="K23" s="25" t="n">
        <f aca="false">K$5</f>
        <v>46508</v>
      </c>
      <c r="L23" s="25" t="n">
        <f aca="false">L$5</f>
        <v>46539</v>
      </c>
      <c r="M23" s="25" t="n">
        <f aca="false">M$5</f>
        <v>46569</v>
      </c>
      <c r="N23" s="25" t="n">
        <f aca="false">N$5</f>
        <v>46600</v>
      </c>
      <c r="O23" s="25" t="n">
        <f aca="false">O$5</f>
        <v>46631</v>
      </c>
      <c r="P23" s="25" t="n">
        <f aca="false">P$5</f>
        <v>46661</v>
      </c>
      <c r="Q23" s="8" t="s">
        <v>686</v>
      </c>
      <c r="R23" s="8" t="s">
        <v>113</v>
      </c>
    </row>
    <row r="24" customFormat="false" ht="15" hidden="false" customHeight="false" outlineLevel="0" collapsed="false">
      <c r="A24" s="6" t="str">
        <f aca="false">A6</f>
        <v>P01</v>
      </c>
      <c r="B24" s="7" t="str">
        <f aca="false">B6</f>
        <v>Ceiling Fan 1200 mm - Induction</v>
      </c>
      <c r="C24" s="45" t="n">
        <f aca="false">INDEX(Products!$I$2:$I$16,MATCH($A24,Products!$A$2:$A$16,0))</f>
        <v>38000</v>
      </c>
      <c r="D24" s="45" t="n">
        <f aca="false">INDEX(Products!$G$2:$G$16,MATCH($A24,Products!$A$2:$A$16,0))</f>
        <v>500</v>
      </c>
      <c r="E24" s="29" t="n">
        <f aca="false">CEILING(ROUND($C24*E6*Assumptions!$B$10,3),$D24)</f>
        <v>21000</v>
      </c>
      <c r="F24" s="29" t="n">
        <f aca="false">CEILING(ROUND($C24*F6*Assumptions!$B$10,3),$D24)</f>
        <v>17500</v>
      </c>
      <c r="G24" s="29" t="n">
        <f aca="false">CEILING(ROUND($C24*G6*Assumptions!$B$10,3),$D24)</f>
        <v>19000</v>
      </c>
      <c r="H24" s="29" t="n">
        <f aca="false">CEILING(ROUND($C24*H6*Assumptions!$B$10,3),$D24)</f>
        <v>32500</v>
      </c>
      <c r="I24" s="29" t="n">
        <f aca="false">CEILING(ROUND($C24*I6*Assumptions!$B$10,3),$D24)</f>
        <v>55500</v>
      </c>
      <c r="J24" s="29" t="n">
        <f aca="false">CEILING(ROUND($C24*J6*Assumptions!$B$10,3),$D24)</f>
        <v>66500</v>
      </c>
      <c r="K24" s="29" t="n">
        <f aca="false">CEILING(ROUND($C24*K6*Assumptions!$B$10,3),$D24)</f>
        <v>63000</v>
      </c>
      <c r="L24" s="29" t="n">
        <f aca="false">CEILING(ROUND($C24*L6*Assumptions!$B$10,3),$D24)</f>
        <v>49500</v>
      </c>
      <c r="M24" s="29" t="n">
        <f aca="false">CEILING(ROUND($C24*M6*Assumptions!$B$10,3),$D24)</f>
        <v>32500</v>
      </c>
      <c r="N24" s="29" t="n">
        <f aca="false">CEILING(ROUND($C24*N6*Assumptions!$B$10,3),$D24)</f>
        <v>28500</v>
      </c>
      <c r="O24" s="29" t="n">
        <f aca="false">CEILING(ROUND($C24*O6*Assumptions!$B$10,3),$D24)</f>
        <v>36500</v>
      </c>
      <c r="P24" s="29" t="n">
        <f aca="false">CEILING(ROUND($C24*P6*Assumptions!$B$10,3),$D24)</f>
        <v>36500</v>
      </c>
      <c r="Q24" s="79" t="n">
        <f aca="false">SUM(E24:P24)</f>
        <v>458500</v>
      </c>
      <c r="R24" s="80" t="n">
        <f aca="false">INDEX($E$23:$P$23,MATCH(MAX(E24:P24),E24:P24,0))</f>
        <v>46478</v>
      </c>
    </row>
    <row r="25" customFormat="false" ht="15" hidden="false" customHeight="false" outlineLevel="0" collapsed="false">
      <c r="A25" s="6" t="str">
        <f aca="false">A7</f>
        <v>P02</v>
      </c>
      <c r="B25" s="7" t="str">
        <f aca="false">B7</f>
        <v>Ceiling Fan 1200 mm - BLDC</v>
      </c>
      <c r="C25" s="45" t="n">
        <f aca="false">INDEX(Products!$I$2:$I$16,MATCH($A25,Products!$A$2:$A$16,0))</f>
        <v>12000</v>
      </c>
      <c r="D25" s="45" t="n">
        <f aca="false">INDEX(Products!$G$2:$G$16,MATCH($A25,Products!$A$2:$A$16,0))</f>
        <v>250</v>
      </c>
      <c r="E25" s="29" t="n">
        <f aca="false">CEILING(ROUND($C25*E7*Assumptions!$B$10,3),$D25)</f>
        <v>6750</v>
      </c>
      <c r="F25" s="29" t="n">
        <f aca="false">CEILING(ROUND($C25*F7*Assumptions!$B$10,3),$D25)</f>
        <v>5500</v>
      </c>
      <c r="G25" s="29" t="n">
        <f aca="false">CEILING(ROUND($C25*G7*Assumptions!$B$10,3),$D25)</f>
        <v>6000</v>
      </c>
      <c r="H25" s="29" t="n">
        <f aca="false">CEILING(ROUND($C25*H7*Assumptions!$B$10,3),$D25)</f>
        <v>10250</v>
      </c>
      <c r="I25" s="29" t="n">
        <f aca="false">CEILING(ROUND($C25*I7*Assumptions!$B$10,3),$D25)</f>
        <v>17500</v>
      </c>
      <c r="J25" s="29" t="n">
        <f aca="false">CEILING(ROUND($C25*J7*Assumptions!$B$10,3),$D25)</f>
        <v>21000</v>
      </c>
      <c r="K25" s="29" t="n">
        <f aca="false">CEILING(ROUND($C25*K7*Assumptions!$B$10,3),$D25)</f>
        <v>20000</v>
      </c>
      <c r="L25" s="29" t="n">
        <f aca="false">CEILING(ROUND($C25*L7*Assumptions!$B$10,3),$D25)</f>
        <v>15750</v>
      </c>
      <c r="M25" s="29" t="n">
        <f aca="false">CEILING(ROUND($C25*M7*Assumptions!$B$10,3),$D25)</f>
        <v>10250</v>
      </c>
      <c r="N25" s="29" t="n">
        <f aca="false">CEILING(ROUND($C25*N7*Assumptions!$B$10,3),$D25)</f>
        <v>9000</v>
      </c>
      <c r="O25" s="29" t="n">
        <f aca="false">CEILING(ROUND($C25*O7*Assumptions!$B$10,3),$D25)</f>
        <v>11500</v>
      </c>
      <c r="P25" s="29" t="n">
        <f aca="false">CEILING(ROUND($C25*P7*Assumptions!$B$10,3),$D25)</f>
        <v>11500</v>
      </c>
      <c r="Q25" s="79" t="n">
        <f aca="false">SUM(E25:P25)</f>
        <v>145000</v>
      </c>
      <c r="R25" s="80" t="n">
        <f aca="false">INDEX($E$23:$P$23,MATCH(MAX(E25:P25),E25:P25,0))</f>
        <v>46478</v>
      </c>
    </row>
    <row r="26" customFormat="false" ht="15" hidden="false" customHeight="false" outlineLevel="0" collapsed="false">
      <c r="A26" s="6" t="str">
        <f aca="false">A8</f>
        <v>P03</v>
      </c>
      <c r="B26" s="7" t="str">
        <f aca="false">B8</f>
        <v>Pedestal Fan 400 mm</v>
      </c>
      <c r="C26" s="45" t="n">
        <f aca="false">INDEX(Products!$I$2:$I$16,MATCH($A26,Products!$A$2:$A$16,0))</f>
        <v>9000</v>
      </c>
      <c r="D26" s="45" t="n">
        <f aca="false">INDEX(Products!$G$2:$G$16,MATCH($A26,Products!$A$2:$A$16,0))</f>
        <v>250</v>
      </c>
      <c r="E26" s="29" t="n">
        <f aca="false">CEILING(ROUND($C26*E8*Assumptions!$B$10,3),$D26)</f>
        <v>6000</v>
      </c>
      <c r="F26" s="29" t="n">
        <f aca="false">CEILING(ROUND($C26*F8*Assumptions!$B$10,3),$D26)</f>
        <v>5000</v>
      </c>
      <c r="G26" s="29" t="n">
        <f aca="false">CEILING(ROUND($C26*G8*Assumptions!$B$10,3),$D26)</f>
        <v>5500</v>
      </c>
      <c r="H26" s="29" t="n">
        <f aca="false">CEILING(ROUND($C26*H8*Assumptions!$B$10,3),$D26)</f>
        <v>8250</v>
      </c>
      <c r="I26" s="29" t="n">
        <f aca="false">CEILING(ROUND($C26*I8*Assumptions!$B$10,3),$D26)</f>
        <v>12750</v>
      </c>
      <c r="J26" s="29" t="n">
        <f aca="false">CEILING(ROUND($C26*J8*Assumptions!$B$10,3),$D26)</f>
        <v>14500</v>
      </c>
      <c r="K26" s="29" t="n">
        <f aca="false">CEILING(ROUND($C26*K8*Assumptions!$B$10,3),$D26)</f>
        <v>13500</v>
      </c>
      <c r="L26" s="29" t="n">
        <f aca="false">CEILING(ROUND($C26*L8*Assumptions!$B$10,3),$D26)</f>
        <v>11000</v>
      </c>
      <c r="M26" s="29" t="n">
        <f aca="false">CEILING(ROUND($C26*M8*Assumptions!$B$10,3),$D26)</f>
        <v>8250</v>
      </c>
      <c r="N26" s="29" t="n">
        <f aca="false">CEILING(ROUND($C26*N8*Assumptions!$B$10,3),$D26)</f>
        <v>7250</v>
      </c>
      <c r="O26" s="29" t="n">
        <f aca="false">CEILING(ROUND($C26*O8*Assumptions!$B$10,3),$D26)</f>
        <v>8750</v>
      </c>
      <c r="P26" s="29" t="n">
        <f aca="false">CEILING(ROUND($C26*P8*Assumptions!$B$10,3),$D26)</f>
        <v>8750</v>
      </c>
      <c r="Q26" s="79" t="n">
        <f aca="false">SUM(E26:P26)</f>
        <v>109500</v>
      </c>
      <c r="R26" s="80" t="n">
        <f aca="false">INDEX($E$23:$P$23,MATCH(MAX(E26:P26),E26:P26,0))</f>
        <v>46478</v>
      </c>
    </row>
    <row r="27" customFormat="false" ht="15" hidden="false" customHeight="false" outlineLevel="0" collapsed="false">
      <c r="A27" s="6" t="str">
        <f aca="false">A9</f>
        <v>P04</v>
      </c>
      <c r="B27" s="7" t="str">
        <f aca="false">B9</f>
        <v>Table Fan 400 mm</v>
      </c>
      <c r="C27" s="45" t="n">
        <f aca="false">INDEX(Products!$I$2:$I$16,MATCH($A27,Products!$A$2:$A$16,0))</f>
        <v>14000</v>
      </c>
      <c r="D27" s="45" t="n">
        <f aca="false">INDEX(Products!$G$2:$G$16,MATCH($A27,Products!$A$2:$A$16,0))</f>
        <v>500</v>
      </c>
      <c r="E27" s="29" t="n">
        <f aca="false">CEILING(ROUND($C27*E9*Assumptions!$B$10,3),$D27)</f>
        <v>9500</v>
      </c>
      <c r="F27" s="29" t="n">
        <f aca="false">CEILING(ROUND($C27*F9*Assumptions!$B$10,3),$D27)</f>
        <v>8000</v>
      </c>
      <c r="G27" s="29" t="n">
        <f aca="false">CEILING(ROUND($C27*G9*Assumptions!$B$10,3),$D27)</f>
        <v>8500</v>
      </c>
      <c r="H27" s="29" t="n">
        <f aca="false">CEILING(ROUND($C27*H9*Assumptions!$B$10,3),$D27)</f>
        <v>13000</v>
      </c>
      <c r="I27" s="29" t="n">
        <f aca="false">CEILING(ROUND($C27*I9*Assumptions!$B$10,3),$D27)</f>
        <v>20000</v>
      </c>
      <c r="J27" s="29" t="n">
        <f aca="false">CEILING(ROUND($C27*J9*Assumptions!$B$10,3),$D27)</f>
        <v>22500</v>
      </c>
      <c r="K27" s="29" t="n">
        <f aca="false">CEILING(ROUND($C27*K9*Assumptions!$B$10,3),$D27)</f>
        <v>21000</v>
      </c>
      <c r="L27" s="29" t="n">
        <f aca="false">CEILING(ROUND($C27*L9*Assumptions!$B$10,3),$D27)</f>
        <v>17000</v>
      </c>
      <c r="M27" s="29" t="n">
        <f aca="false">CEILING(ROUND($C27*M9*Assumptions!$B$10,3),$D27)</f>
        <v>13000</v>
      </c>
      <c r="N27" s="29" t="n">
        <f aca="false">CEILING(ROUND($C27*N9*Assumptions!$B$10,3),$D27)</f>
        <v>11500</v>
      </c>
      <c r="O27" s="29" t="n">
        <f aca="false">CEILING(ROUND($C27*O9*Assumptions!$B$10,3),$D27)</f>
        <v>13500</v>
      </c>
      <c r="P27" s="29" t="n">
        <f aca="false">CEILING(ROUND($C27*P9*Assumptions!$B$10,3),$D27)</f>
        <v>13500</v>
      </c>
      <c r="Q27" s="79" t="n">
        <f aca="false">SUM(E27:P27)</f>
        <v>171000</v>
      </c>
      <c r="R27" s="80" t="n">
        <f aca="false">INDEX($E$23:$P$23,MATCH(MAX(E27:P27),E27:P27,0))</f>
        <v>46478</v>
      </c>
    </row>
    <row r="28" customFormat="false" ht="15" hidden="false" customHeight="false" outlineLevel="0" collapsed="false">
      <c r="A28" s="6" t="str">
        <f aca="false">A10</f>
        <v>P05</v>
      </c>
      <c r="B28" s="7" t="str">
        <f aca="false">B10</f>
        <v>Exhaust Fan 230 mm</v>
      </c>
      <c r="C28" s="45" t="n">
        <f aca="false">INDEX(Products!$I$2:$I$16,MATCH($A28,Products!$A$2:$A$16,0))</f>
        <v>16000</v>
      </c>
      <c r="D28" s="45" t="n">
        <f aca="false">INDEX(Products!$G$2:$G$16,MATCH($A28,Products!$A$2:$A$16,0))</f>
        <v>500</v>
      </c>
      <c r="E28" s="29" t="n">
        <f aca="false">CEILING(ROUND($C28*E10*Assumptions!$B$10,3),$D28)</f>
        <v>14500</v>
      </c>
      <c r="F28" s="29" t="n">
        <f aca="false">CEILING(ROUND($C28*F10*Assumptions!$B$10,3),$D28)</f>
        <v>14000</v>
      </c>
      <c r="G28" s="29" t="n">
        <f aca="false">CEILING(ROUND($C28*G10*Assumptions!$B$10,3),$D28)</f>
        <v>14000</v>
      </c>
      <c r="H28" s="29" t="n">
        <f aca="false">CEILING(ROUND($C28*H10*Assumptions!$B$10,3),$D28)</f>
        <v>15500</v>
      </c>
      <c r="I28" s="29" t="n">
        <f aca="false">CEILING(ROUND($C28*I10*Assumptions!$B$10,3),$D28)</f>
        <v>18500</v>
      </c>
      <c r="J28" s="29" t="n">
        <f aca="false">CEILING(ROUND($C28*J10*Assumptions!$B$10,3),$D28)</f>
        <v>19500</v>
      </c>
      <c r="K28" s="29" t="n">
        <f aca="false">CEILING(ROUND($C28*K10*Assumptions!$B$10,3),$D28)</f>
        <v>19500</v>
      </c>
      <c r="L28" s="29" t="n">
        <f aca="false">CEILING(ROUND($C28*L10*Assumptions!$B$10,3),$D28)</f>
        <v>18000</v>
      </c>
      <c r="M28" s="29" t="n">
        <f aca="false">CEILING(ROUND($C28*M10*Assumptions!$B$10,3),$D28)</f>
        <v>15500</v>
      </c>
      <c r="N28" s="29" t="n">
        <f aca="false">CEILING(ROUND($C28*N10*Assumptions!$B$10,3),$D28)</f>
        <v>14500</v>
      </c>
      <c r="O28" s="29" t="n">
        <f aca="false">CEILING(ROUND($C28*O10*Assumptions!$B$10,3),$D28)</f>
        <v>15500</v>
      </c>
      <c r="P28" s="29" t="n">
        <f aca="false">CEILING(ROUND($C28*P10*Assumptions!$B$10,3),$D28)</f>
        <v>16000</v>
      </c>
      <c r="Q28" s="79" t="n">
        <f aca="false">SUM(E28:P28)</f>
        <v>195000</v>
      </c>
      <c r="R28" s="80" t="n">
        <f aca="false">INDEX($E$23:$P$23,MATCH(MAX(E28:P28),E28:P28,0))</f>
        <v>46478</v>
      </c>
    </row>
    <row r="29" customFormat="false" ht="15" hidden="false" customHeight="false" outlineLevel="0" collapsed="false">
      <c r="A29" s="6" t="str">
        <f aca="false">A11</f>
        <v>P06</v>
      </c>
      <c r="B29" s="7" t="str">
        <f aca="false">B11</f>
        <v>Personal Air Cooler 30 L</v>
      </c>
      <c r="C29" s="45" t="n">
        <f aca="false">INDEX(Products!$I$2:$I$16,MATCH($A29,Products!$A$2:$A$16,0))</f>
        <v>6500</v>
      </c>
      <c r="D29" s="45" t="n">
        <f aca="false">INDEX(Products!$G$2:$G$16,MATCH($A29,Products!$A$2:$A$16,0))</f>
        <v>100</v>
      </c>
      <c r="E29" s="29" t="n">
        <f aca="false">CEILING(ROUND($C29*E11*Assumptions!$B$10,3),$D29)</f>
        <v>700</v>
      </c>
      <c r="F29" s="29" t="n">
        <f aca="false">CEILING(ROUND($C29*F11*Assumptions!$B$10,3),$D29)</f>
        <v>400</v>
      </c>
      <c r="G29" s="29" t="n">
        <f aca="false">CEILING(ROUND($C29*G11*Assumptions!$B$10,3),$D29)</f>
        <v>700</v>
      </c>
      <c r="H29" s="29" t="n">
        <f aca="false">CEILING(ROUND($C29*H11*Assumptions!$B$10,3),$D29)</f>
        <v>3900</v>
      </c>
      <c r="I29" s="29" t="n">
        <f aca="false">CEILING(ROUND($C29*I11*Assumptions!$B$10,3),$D29)</f>
        <v>14300</v>
      </c>
      <c r="J29" s="29" t="n">
        <f aca="false">CEILING(ROUND($C29*J11*Assumptions!$B$10,3),$D29)</f>
        <v>19500</v>
      </c>
      <c r="K29" s="29" t="n">
        <f aca="false">CEILING(ROUND($C29*K11*Assumptions!$B$10,3),$D29)</f>
        <v>17600</v>
      </c>
      <c r="L29" s="29" t="n">
        <f aca="false">CEILING(ROUND($C29*L11*Assumptions!$B$10,3),$D29)</f>
        <v>10400</v>
      </c>
      <c r="M29" s="29" t="n">
        <f aca="false">CEILING(ROUND($C29*M11*Assumptions!$B$10,3),$D29)</f>
        <v>5200</v>
      </c>
      <c r="N29" s="29" t="n">
        <f aca="false">CEILING(ROUND($C29*N11*Assumptions!$B$10,3),$D29)</f>
        <v>2600</v>
      </c>
      <c r="O29" s="29" t="n">
        <f aca="false">CEILING(ROUND($C29*O11*Assumptions!$B$10,3),$D29)</f>
        <v>2300</v>
      </c>
      <c r="P29" s="29" t="n">
        <f aca="false">CEILING(ROUND($C29*P11*Assumptions!$B$10,3),$D29)</f>
        <v>700</v>
      </c>
      <c r="Q29" s="79" t="n">
        <f aca="false">SUM(E29:P29)</f>
        <v>78300</v>
      </c>
      <c r="R29" s="80" t="n">
        <f aca="false">INDEX($E$23:$P$23,MATCH(MAX(E29:P29),E29:P29,0))</f>
        <v>46478</v>
      </c>
    </row>
    <row r="30" customFormat="false" ht="15" hidden="false" customHeight="false" outlineLevel="0" collapsed="false">
      <c r="A30" s="6" t="str">
        <f aca="false">A12</f>
        <v>P07</v>
      </c>
      <c r="B30" s="7" t="str">
        <f aca="false">B12</f>
        <v>Mixer Grinder 500 W</v>
      </c>
      <c r="C30" s="45" t="n">
        <f aca="false">INDEX(Products!$I$2:$I$16,MATCH($A30,Products!$A$2:$A$16,0))</f>
        <v>18000</v>
      </c>
      <c r="D30" s="45" t="n">
        <f aca="false">INDEX(Products!$G$2:$G$16,MATCH($A30,Products!$A$2:$A$16,0))</f>
        <v>500</v>
      </c>
      <c r="E30" s="29" t="n">
        <f aca="false">CEILING(ROUND($C30*E12*Assumptions!$B$10,3),$D30)</f>
        <v>24500</v>
      </c>
      <c r="F30" s="29" t="n">
        <f aca="false">CEILING(ROUND($C30*F12*Assumptions!$B$10,3),$D30)</f>
        <v>20000</v>
      </c>
      <c r="G30" s="29" t="n">
        <f aca="false">CEILING(ROUND($C30*G12*Assumptions!$B$10,3),$D30)</f>
        <v>17500</v>
      </c>
      <c r="H30" s="29" t="n">
        <f aca="false">CEILING(ROUND($C30*H12*Assumptions!$B$10,3),$D30)</f>
        <v>19000</v>
      </c>
      <c r="I30" s="29" t="n">
        <f aca="false">CEILING(ROUND($C30*I12*Assumptions!$B$10,3),$D30)</f>
        <v>17500</v>
      </c>
      <c r="J30" s="29" t="n">
        <f aca="false">CEILING(ROUND($C30*J12*Assumptions!$B$10,3),$D30)</f>
        <v>15500</v>
      </c>
      <c r="K30" s="29" t="n">
        <f aca="false">CEILING(ROUND($C30*K12*Assumptions!$B$10,3),$D30)</f>
        <v>15500</v>
      </c>
      <c r="L30" s="29" t="n">
        <f aca="false">CEILING(ROUND($C30*L12*Assumptions!$B$10,3),$D30)</f>
        <v>15500</v>
      </c>
      <c r="M30" s="29" t="n">
        <f aca="false">CEILING(ROUND($C30*M12*Assumptions!$B$10,3),$D30)</f>
        <v>15500</v>
      </c>
      <c r="N30" s="29" t="n">
        <f aca="false">CEILING(ROUND($C30*N12*Assumptions!$B$10,3),$D30)</f>
        <v>16500</v>
      </c>
      <c r="O30" s="29" t="n">
        <f aca="false">CEILING(ROUND($C30*O12*Assumptions!$B$10,3),$D30)</f>
        <v>18000</v>
      </c>
      <c r="P30" s="29" t="n">
        <f aca="false">CEILING(ROUND($C30*P12*Assumptions!$B$10,3),$D30)</f>
        <v>23500</v>
      </c>
      <c r="Q30" s="79" t="n">
        <f aca="false">SUM(E30:P30)</f>
        <v>218500</v>
      </c>
      <c r="R30" s="80" t="n">
        <f aca="false">INDEX($E$23:$P$23,MATCH(MAX(E30:P30),E30:P30,0))</f>
        <v>46327</v>
      </c>
    </row>
    <row r="31" customFormat="false" ht="15" hidden="false" customHeight="false" outlineLevel="0" collapsed="false">
      <c r="A31" s="6" t="str">
        <f aca="false">A13</f>
        <v>P08</v>
      </c>
      <c r="B31" s="7" t="str">
        <f aca="false">B13</f>
        <v>Mixer Grinder 750 W</v>
      </c>
      <c r="C31" s="45" t="n">
        <f aca="false">INDEX(Products!$I$2:$I$16,MATCH($A31,Products!$A$2:$A$16,0))</f>
        <v>14000</v>
      </c>
      <c r="D31" s="45" t="n">
        <f aca="false">INDEX(Products!$G$2:$G$16,MATCH($A31,Products!$A$2:$A$16,0))</f>
        <v>250</v>
      </c>
      <c r="E31" s="29" t="n">
        <f aca="false">CEILING(ROUND($C31*E13*Assumptions!$B$10,3),$D31)</f>
        <v>19000</v>
      </c>
      <c r="F31" s="29" t="n">
        <f aca="false">CEILING(ROUND($C31*F13*Assumptions!$B$10,3),$D31)</f>
        <v>15500</v>
      </c>
      <c r="G31" s="29" t="n">
        <f aca="false">CEILING(ROUND($C31*G13*Assumptions!$B$10,3),$D31)</f>
        <v>13500</v>
      </c>
      <c r="H31" s="29" t="n">
        <f aca="false">CEILING(ROUND($C31*H13*Assumptions!$B$10,3),$D31)</f>
        <v>14750</v>
      </c>
      <c r="I31" s="29" t="n">
        <f aca="false">CEILING(ROUND($C31*I13*Assumptions!$B$10,3),$D31)</f>
        <v>13500</v>
      </c>
      <c r="J31" s="29" t="n">
        <f aca="false">CEILING(ROUND($C31*J13*Assumptions!$B$10,3),$D31)</f>
        <v>12000</v>
      </c>
      <c r="K31" s="29" t="n">
        <f aca="false">CEILING(ROUND($C31*K13*Assumptions!$B$10,3),$D31)</f>
        <v>12000</v>
      </c>
      <c r="L31" s="29" t="n">
        <f aca="false">CEILING(ROUND($C31*L13*Assumptions!$B$10,3),$D31)</f>
        <v>12000</v>
      </c>
      <c r="M31" s="29" t="n">
        <f aca="false">CEILING(ROUND($C31*M13*Assumptions!$B$10,3),$D31)</f>
        <v>12000</v>
      </c>
      <c r="N31" s="29" t="n">
        <f aca="false">CEILING(ROUND($C31*N13*Assumptions!$B$10,3),$D31)</f>
        <v>12750</v>
      </c>
      <c r="O31" s="29" t="n">
        <f aca="false">CEILING(ROUND($C31*O13*Assumptions!$B$10,3),$D31)</f>
        <v>14000</v>
      </c>
      <c r="P31" s="29" t="n">
        <f aca="false">CEILING(ROUND($C31*P13*Assumptions!$B$10,3),$D31)</f>
        <v>18250</v>
      </c>
      <c r="Q31" s="79" t="n">
        <f aca="false">SUM(E31:P31)</f>
        <v>169250</v>
      </c>
      <c r="R31" s="80" t="n">
        <f aca="false">INDEX($E$23:$P$23,MATCH(MAX(E31:P31),E31:P31,0))</f>
        <v>46327</v>
      </c>
    </row>
    <row r="32" customFormat="false" ht="15" hidden="false" customHeight="false" outlineLevel="0" collapsed="false">
      <c r="A32" s="6" t="str">
        <f aca="false">A14</f>
        <v>P09</v>
      </c>
      <c r="B32" s="7" t="str">
        <f aca="false">B14</f>
        <v>Electric Kettle 1.5 L</v>
      </c>
      <c r="C32" s="45" t="n">
        <f aca="false">INDEX(Products!$I$2:$I$16,MATCH($A32,Products!$A$2:$A$16,0))</f>
        <v>22000</v>
      </c>
      <c r="D32" s="45" t="n">
        <f aca="false">INDEX(Products!$G$2:$G$16,MATCH($A32,Products!$A$2:$A$16,0))</f>
        <v>500</v>
      </c>
      <c r="E32" s="29" t="n">
        <f aca="false">CEILING(ROUND($C32*E14*Assumptions!$B$10,3),$D32)</f>
        <v>27500</v>
      </c>
      <c r="F32" s="29" t="n">
        <f aca="false">CEILING(ROUND($C32*F14*Assumptions!$B$10,3),$D32)</f>
        <v>32000</v>
      </c>
      <c r="G32" s="29" t="n">
        <f aca="false">CEILING(ROUND($C32*G14*Assumptions!$B$10,3),$D32)</f>
        <v>31000</v>
      </c>
      <c r="H32" s="29" t="n">
        <f aca="false">CEILING(ROUND($C32*H14*Assumptions!$B$10,3),$D32)</f>
        <v>24500</v>
      </c>
      <c r="I32" s="29" t="n">
        <f aca="false">CEILING(ROUND($C32*I14*Assumptions!$B$10,3),$D32)</f>
        <v>19000</v>
      </c>
      <c r="J32" s="29" t="n">
        <f aca="false">CEILING(ROUND($C32*J14*Assumptions!$B$10,3),$D32)</f>
        <v>15500</v>
      </c>
      <c r="K32" s="29" t="n">
        <f aca="false">CEILING(ROUND($C32*K14*Assumptions!$B$10,3),$D32)</f>
        <v>14500</v>
      </c>
      <c r="L32" s="29" t="n">
        <f aca="false">CEILING(ROUND($C32*L14*Assumptions!$B$10,3),$D32)</f>
        <v>15500</v>
      </c>
      <c r="M32" s="29" t="n">
        <f aca="false">CEILING(ROUND($C32*M14*Assumptions!$B$10,3),$D32)</f>
        <v>18000</v>
      </c>
      <c r="N32" s="29" t="n">
        <f aca="false">CEILING(ROUND($C32*N14*Assumptions!$B$10,3),$D32)</f>
        <v>19000</v>
      </c>
      <c r="O32" s="29" t="n">
        <f aca="false">CEILING(ROUND($C32*O14*Assumptions!$B$10,3),$D32)</f>
        <v>21000</v>
      </c>
      <c r="P32" s="29" t="n">
        <f aca="false">CEILING(ROUND($C32*P14*Assumptions!$B$10,3),$D32)</f>
        <v>29000</v>
      </c>
      <c r="Q32" s="79" t="n">
        <f aca="false">SUM(E32:P32)</f>
        <v>266500</v>
      </c>
      <c r="R32" s="80" t="n">
        <f aca="false">INDEX($E$23:$P$23,MATCH(MAX(E32:P32),E32:P32,0))</f>
        <v>46357</v>
      </c>
    </row>
    <row r="33" customFormat="false" ht="15" hidden="false" customHeight="false" outlineLevel="0" collapsed="false">
      <c r="A33" s="6" t="str">
        <f aca="false">A15</f>
        <v>P10</v>
      </c>
      <c r="B33" s="7" t="str">
        <f aca="false">B15</f>
        <v>Induction Cooktop 2000 W</v>
      </c>
      <c r="C33" s="45" t="n">
        <f aca="false">INDEX(Products!$I$2:$I$16,MATCH($A33,Products!$A$2:$A$16,0))</f>
        <v>11000</v>
      </c>
      <c r="D33" s="45" t="n">
        <f aca="false">INDEX(Products!$G$2:$G$16,MATCH($A33,Products!$A$2:$A$16,0))</f>
        <v>250</v>
      </c>
      <c r="E33" s="29" t="n">
        <f aca="false">CEILING(ROUND($C33*E15*Assumptions!$B$10,3),$D33)</f>
        <v>14500</v>
      </c>
      <c r="F33" s="29" t="n">
        <f aca="false">CEILING(ROUND($C33*F15*Assumptions!$B$10,3),$D33)</f>
        <v>11750</v>
      </c>
      <c r="G33" s="29" t="n">
        <f aca="false">CEILING(ROUND($C33*G15*Assumptions!$B$10,3),$D33)</f>
        <v>10500</v>
      </c>
      <c r="H33" s="29" t="n">
        <f aca="false">CEILING(ROUND($C33*H15*Assumptions!$B$10,3),$D33)</f>
        <v>10500</v>
      </c>
      <c r="I33" s="29" t="n">
        <f aca="false">CEILING(ROUND($C33*I15*Assumptions!$B$10,3),$D33)</f>
        <v>10000</v>
      </c>
      <c r="J33" s="29" t="n">
        <f aca="false">CEILING(ROUND($C33*J15*Assumptions!$B$10,3),$D33)</f>
        <v>9500</v>
      </c>
      <c r="K33" s="29" t="n">
        <f aca="false">CEILING(ROUND($C33*K15*Assumptions!$B$10,3),$D33)</f>
        <v>9500</v>
      </c>
      <c r="L33" s="29" t="n">
        <f aca="false">CEILING(ROUND($C33*L15*Assumptions!$B$10,3),$D33)</f>
        <v>10000</v>
      </c>
      <c r="M33" s="29" t="n">
        <f aca="false">CEILING(ROUND($C33*M15*Assumptions!$B$10,3),$D33)</f>
        <v>10000</v>
      </c>
      <c r="N33" s="29" t="n">
        <f aca="false">CEILING(ROUND($C33*N15*Assumptions!$B$10,3),$D33)</f>
        <v>10500</v>
      </c>
      <c r="O33" s="29" t="n">
        <f aca="false">CEILING(ROUND($C33*O15*Assumptions!$B$10,3),$D33)</f>
        <v>11750</v>
      </c>
      <c r="P33" s="29" t="n">
        <f aca="false">CEILING(ROUND($C33*P15*Assumptions!$B$10,3),$D33)</f>
        <v>15000</v>
      </c>
      <c r="Q33" s="79" t="n">
        <f aca="false">SUM(E33:P33)</f>
        <v>133500</v>
      </c>
      <c r="R33" s="80" t="n">
        <f aca="false">INDEX($E$23:$P$23,MATCH(MAX(E33:P33),E33:P33,0))</f>
        <v>46661</v>
      </c>
    </row>
    <row r="34" customFormat="false" ht="15" hidden="false" customHeight="false" outlineLevel="0" collapsed="false">
      <c r="A34" s="6" t="str">
        <f aca="false">A16</f>
        <v>P11</v>
      </c>
      <c r="B34" s="7" t="str">
        <f aca="false">B16</f>
        <v>Sandwich Maker 750 W</v>
      </c>
      <c r="C34" s="45" t="n">
        <f aca="false">INDEX(Products!$I$2:$I$16,MATCH($A34,Products!$A$2:$A$16,0))</f>
        <v>9500</v>
      </c>
      <c r="D34" s="45" t="n">
        <f aca="false">INDEX(Products!$G$2:$G$16,MATCH($A34,Products!$A$2:$A$16,0))</f>
        <v>250</v>
      </c>
      <c r="E34" s="29" t="n">
        <f aca="false">CEILING(ROUND($C34*E16*Assumptions!$B$10,3),$D34)</f>
        <v>11500</v>
      </c>
      <c r="F34" s="29" t="n">
        <f aca="false">CEILING(ROUND($C34*F16*Assumptions!$B$10,3),$D34)</f>
        <v>11000</v>
      </c>
      <c r="G34" s="29" t="n">
        <f aca="false">CEILING(ROUND($C34*G16*Assumptions!$B$10,3),$D34)</f>
        <v>10500</v>
      </c>
      <c r="H34" s="29" t="n">
        <f aca="false">CEILING(ROUND($C34*H16*Assumptions!$B$10,3),$D34)</f>
        <v>9500</v>
      </c>
      <c r="I34" s="29" t="n">
        <f aca="false">CEILING(ROUND($C34*I16*Assumptions!$B$10,3),$D34)</f>
        <v>8750</v>
      </c>
      <c r="J34" s="29" t="n">
        <f aca="false">CEILING(ROUND($C34*J16*Assumptions!$B$10,3),$D34)</f>
        <v>7750</v>
      </c>
      <c r="K34" s="29" t="n">
        <f aca="false">CEILING(ROUND($C34*K16*Assumptions!$B$10,3),$D34)</f>
        <v>7750</v>
      </c>
      <c r="L34" s="29" t="n">
        <f aca="false">CEILING(ROUND($C34*L16*Assumptions!$B$10,3),$D34)</f>
        <v>8250</v>
      </c>
      <c r="M34" s="29" t="n">
        <f aca="false">CEILING(ROUND($C34*M16*Assumptions!$B$10,3),$D34)</f>
        <v>8750</v>
      </c>
      <c r="N34" s="29" t="n">
        <f aca="false">CEILING(ROUND($C34*N16*Assumptions!$B$10,3),$D34)</f>
        <v>9250</v>
      </c>
      <c r="O34" s="29" t="n">
        <f aca="false">CEILING(ROUND($C34*O16*Assumptions!$B$10,3),$D34)</f>
        <v>10000</v>
      </c>
      <c r="P34" s="29" t="n">
        <f aca="false">CEILING(ROUND($C34*P16*Assumptions!$B$10,3),$D34)</f>
        <v>12500</v>
      </c>
      <c r="Q34" s="79" t="n">
        <f aca="false">SUM(E34:P34)</f>
        <v>115500</v>
      </c>
      <c r="R34" s="80" t="n">
        <f aca="false">INDEX($E$23:$P$23,MATCH(MAX(E34:P34),E34:P34,0))</f>
        <v>46661</v>
      </c>
    </row>
    <row r="35" customFormat="false" ht="15" hidden="false" customHeight="false" outlineLevel="0" collapsed="false">
      <c r="A35" s="6" t="str">
        <f aca="false">A17</f>
        <v>P12</v>
      </c>
      <c r="B35" s="7" t="str">
        <f aca="false">B17</f>
        <v>Fan Room Heater 2000 W</v>
      </c>
      <c r="C35" s="45" t="n">
        <f aca="false">INDEX(Products!$I$2:$I$16,MATCH($A35,Products!$A$2:$A$16,0))</f>
        <v>7000</v>
      </c>
      <c r="D35" s="45" t="n">
        <f aca="false">INDEX(Products!$G$2:$G$16,MATCH($A35,Products!$A$2:$A$16,0))</f>
        <v>250</v>
      </c>
      <c r="E35" s="29" t="n">
        <f aca="false">CEILING(ROUND($C35*E17*Assumptions!$B$10,3),$D35)</f>
        <v>15500</v>
      </c>
      <c r="F35" s="29" t="n">
        <f aca="false">CEILING(ROUND($C35*F17*Assumptions!$B$10,3),$D35)</f>
        <v>21000</v>
      </c>
      <c r="G35" s="29" t="n">
        <f aca="false">CEILING(ROUND($C35*G17*Assumptions!$B$10,3),$D35)</f>
        <v>21750</v>
      </c>
      <c r="H35" s="29" t="n">
        <f aca="false">CEILING(ROUND($C35*H17*Assumptions!$B$10,3),$D35)</f>
        <v>12000</v>
      </c>
      <c r="I35" s="29" t="n">
        <f aca="false">CEILING(ROUND($C35*I17*Assumptions!$B$10,3),$D35)</f>
        <v>3000</v>
      </c>
      <c r="J35" s="29" t="n">
        <f aca="false">CEILING(ROUND($C35*J17*Assumptions!$B$10,3),$D35)</f>
        <v>750</v>
      </c>
      <c r="K35" s="29" t="n">
        <f aca="false">CEILING(ROUND($C35*K17*Assumptions!$B$10,3),$D35)</f>
        <v>500</v>
      </c>
      <c r="L35" s="29" t="n">
        <f aca="false">CEILING(ROUND($C35*L17*Assumptions!$B$10,3),$D35)</f>
        <v>500</v>
      </c>
      <c r="M35" s="29" t="n">
        <f aca="false">CEILING(ROUND($C35*M17*Assumptions!$B$10,3),$D35)</f>
        <v>500</v>
      </c>
      <c r="N35" s="29" t="n">
        <f aca="false">CEILING(ROUND($C35*N17*Assumptions!$B$10,3),$D35)</f>
        <v>750</v>
      </c>
      <c r="O35" s="29" t="n">
        <f aca="false">CEILING(ROUND($C35*O17*Assumptions!$B$10,3),$D35)</f>
        <v>2500</v>
      </c>
      <c r="P35" s="29" t="n">
        <f aca="false">CEILING(ROUND($C35*P17*Assumptions!$B$10,3),$D35)</f>
        <v>6500</v>
      </c>
      <c r="Q35" s="79" t="n">
        <f aca="false">SUM(E35:P35)</f>
        <v>85250</v>
      </c>
      <c r="R35" s="80" t="n">
        <f aca="false">INDEX($E$23:$P$23,MATCH(MAX(E35:P35),E35:P35,0))</f>
        <v>46388</v>
      </c>
    </row>
    <row r="36" customFormat="false" ht="15" hidden="false" customHeight="false" outlineLevel="0" collapsed="false">
      <c r="A36" s="6" t="str">
        <f aca="false">A18</f>
        <v>P13</v>
      </c>
      <c r="B36" s="7" t="str">
        <f aca="false">B18</f>
        <v>Immersion Water Heater Rod 1500 W</v>
      </c>
      <c r="C36" s="45" t="n">
        <f aca="false">INDEX(Products!$I$2:$I$16,MATCH($A36,Products!$A$2:$A$16,0))</f>
        <v>15000</v>
      </c>
      <c r="D36" s="45" t="n">
        <f aca="false">INDEX(Products!$G$2:$G$16,MATCH($A36,Products!$A$2:$A$16,0))</f>
        <v>500</v>
      </c>
      <c r="E36" s="29" t="n">
        <f aca="false">CEILING(ROUND($C36*E18*Assumptions!$B$10,3),$D36)</f>
        <v>27000</v>
      </c>
      <c r="F36" s="29" t="n">
        <f aca="false">CEILING(ROUND($C36*F18*Assumptions!$B$10,3),$D36)</f>
        <v>34500</v>
      </c>
      <c r="G36" s="29" t="n">
        <f aca="false">CEILING(ROUND($C36*G18*Assumptions!$B$10,3),$D36)</f>
        <v>36000</v>
      </c>
      <c r="H36" s="29" t="n">
        <f aca="false">CEILING(ROUND($C36*H18*Assumptions!$B$10,3),$D36)</f>
        <v>24000</v>
      </c>
      <c r="I36" s="29" t="n">
        <f aca="false">CEILING(ROUND($C36*I18*Assumptions!$B$10,3),$D36)</f>
        <v>10500</v>
      </c>
      <c r="J36" s="29" t="n">
        <f aca="false">CEILING(ROUND($C36*J18*Assumptions!$B$10,3),$D36)</f>
        <v>4500</v>
      </c>
      <c r="K36" s="29" t="n">
        <f aca="false">CEILING(ROUND($C36*K18*Assumptions!$B$10,3),$D36)</f>
        <v>3000</v>
      </c>
      <c r="L36" s="29" t="n">
        <f aca="false">CEILING(ROUND($C36*L18*Assumptions!$B$10,3),$D36)</f>
        <v>3000</v>
      </c>
      <c r="M36" s="29" t="n">
        <f aca="false">CEILING(ROUND($C36*M18*Assumptions!$B$10,3),$D36)</f>
        <v>4000</v>
      </c>
      <c r="N36" s="29" t="n">
        <f aca="false">CEILING(ROUND($C36*N18*Assumptions!$B$10,3),$D36)</f>
        <v>4500</v>
      </c>
      <c r="O36" s="29" t="n">
        <f aca="false">CEILING(ROUND($C36*O18*Assumptions!$B$10,3),$D36)</f>
        <v>7500</v>
      </c>
      <c r="P36" s="29" t="n">
        <f aca="false">CEILING(ROUND($C36*P18*Assumptions!$B$10,3),$D36)</f>
        <v>22000</v>
      </c>
      <c r="Q36" s="79" t="n">
        <f aca="false">SUM(E36:P36)</f>
        <v>180500</v>
      </c>
      <c r="R36" s="80" t="n">
        <f aca="false">INDEX($E$23:$P$23,MATCH(MAX(E36:P36),E36:P36,0))</f>
        <v>46388</v>
      </c>
    </row>
    <row r="37" customFormat="false" ht="15" hidden="false" customHeight="false" outlineLevel="0" collapsed="false">
      <c r="A37" s="6" t="str">
        <f aca="false">A19</f>
        <v>P14</v>
      </c>
      <c r="B37" s="7" t="str">
        <f aca="false">B19</f>
        <v>Dry Iron 1000 W</v>
      </c>
      <c r="C37" s="45" t="n">
        <f aca="false">INDEX(Products!$I$2:$I$16,MATCH($A37,Products!$A$2:$A$16,0))</f>
        <v>20000</v>
      </c>
      <c r="D37" s="45" t="n">
        <f aca="false">INDEX(Products!$G$2:$G$16,MATCH($A37,Products!$A$2:$A$16,0))</f>
        <v>500</v>
      </c>
      <c r="E37" s="29" t="n">
        <f aca="false">CEILING(ROUND($C37*E19*Assumptions!$B$10,3),$D37)</f>
        <v>23000</v>
      </c>
      <c r="F37" s="29" t="n">
        <f aca="false">CEILING(ROUND($C37*F19*Assumptions!$B$10,3),$D37)</f>
        <v>21000</v>
      </c>
      <c r="G37" s="29" t="n">
        <f aca="false">CEILING(ROUND($C37*G19*Assumptions!$B$10,3),$D37)</f>
        <v>20000</v>
      </c>
      <c r="H37" s="29" t="n">
        <f aca="false">CEILING(ROUND($C37*H19*Assumptions!$B$10,3),$D37)</f>
        <v>20000</v>
      </c>
      <c r="I37" s="29" t="n">
        <f aca="false">CEILING(ROUND($C37*I19*Assumptions!$B$10,3),$D37)</f>
        <v>20000</v>
      </c>
      <c r="J37" s="29" t="n">
        <f aca="false">CEILING(ROUND($C37*J19*Assumptions!$B$10,3),$D37)</f>
        <v>18000</v>
      </c>
      <c r="K37" s="29" t="n">
        <f aca="false">CEILING(ROUND($C37*K19*Assumptions!$B$10,3),$D37)</f>
        <v>17000</v>
      </c>
      <c r="L37" s="29" t="n">
        <f aca="false">CEILING(ROUND($C37*L19*Assumptions!$B$10,3),$D37)</f>
        <v>18000</v>
      </c>
      <c r="M37" s="29" t="n">
        <f aca="false">CEILING(ROUND($C37*M19*Assumptions!$B$10,3),$D37)</f>
        <v>19000</v>
      </c>
      <c r="N37" s="29" t="n">
        <f aca="false">CEILING(ROUND($C37*N19*Assumptions!$B$10,3),$D37)</f>
        <v>20000</v>
      </c>
      <c r="O37" s="29" t="n">
        <f aca="false">CEILING(ROUND($C37*O19*Assumptions!$B$10,3),$D37)</f>
        <v>21000</v>
      </c>
      <c r="P37" s="29" t="n">
        <f aca="false">CEILING(ROUND($C37*P19*Assumptions!$B$10,3),$D37)</f>
        <v>23000</v>
      </c>
      <c r="Q37" s="79" t="n">
        <f aca="false">SUM(E37:P37)</f>
        <v>240000</v>
      </c>
      <c r="R37" s="80" t="n">
        <f aca="false">INDEX($E$23:$P$23,MATCH(MAX(E37:P37),E37:P37,0))</f>
        <v>46327</v>
      </c>
    </row>
    <row r="38" customFormat="false" ht="15" hidden="false" customHeight="false" outlineLevel="0" collapsed="false">
      <c r="A38" s="6" t="str">
        <f aca="false">A20</f>
        <v>P15</v>
      </c>
      <c r="B38" s="7" t="str">
        <f aca="false">B20</f>
        <v>Water Pump 0.5 HP Monoblock</v>
      </c>
      <c r="C38" s="45" t="n">
        <f aca="false">INDEX(Products!$I$2:$I$16,MATCH($A38,Products!$A$2:$A$16,0))</f>
        <v>4500</v>
      </c>
      <c r="D38" s="45" t="n">
        <f aca="false">INDEX(Products!$G$2:$G$16,MATCH($A38,Products!$A$2:$A$16,0))</f>
        <v>100</v>
      </c>
      <c r="E38" s="29" t="n">
        <f aca="false">CEILING(ROUND($C38*E20*Assumptions!$B$10,3),$D38)</f>
        <v>3900</v>
      </c>
      <c r="F38" s="29" t="n">
        <f aca="false">CEILING(ROUND($C38*F20*Assumptions!$B$10,3),$D38)</f>
        <v>3600</v>
      </c>
      <c r="G38" s="29" t="n">
        <f aca="false">CEILING(ROUND($C38*G20*Assumptions!$B$10,3),$D38)</f>
        <v>3900</v>
      </c>
      <c r="H38" s="29" t="n">
        <f aca="false">CEILING(ROUND($C38*H20*Assumptions!$B$10,3),$D38)</f>
        <v>4300</v>
      </c>
      <c r="I38" s="29" t="n">
        <f aca="false">CEILING(ROUND($C38*I20*Assumptions!$B$10,3),$D38)</f>
        <v>5400</v>
      </c>
      <c r="J38" s="29" t="n">
        <f aca="false">CEILING(ROUND($C38*J20*Assumptions!$B$10,3),$D38)</f>
        <v>6100</v>
      </c>
      <c r="K38" s="29" t="n">
        <f aca="false">CEILING(ROUND($C38*K20*Assumptions!$B$10,3),$D38)</f>
        <v>6100</v>
      </c>
      <c r="L38" s="29" t="n">
        <f aca="false">CEILING(ROUND($C38*L20*Assumptions!$B$10,3),$D38)</f>
        <v>5700</v>
      </c>
      <c r="M38" s="29" t="n">
        <f aca="false">CEILING(ROUND($C38*M20*Assumptions!$B$10,3),$D38)</f>
        <v>4500</v>
      </c>
      <c r="N38" s="29" t="n">
        <f aca="false">CEILING(ROUND($C38*N20*Assumptions!$B$10,3),$D38)</f>
        <v>3900</v>
      </c>
      <c r="O38" s="29" t="n">
        <f aca="false">CEILING(ROUND($C38*O20*Assumptions!$B$10,3),$D38)</f>
        <v>3400</v>
      </c>
      <c r="P38" s="29" t="n">
        <f aca="false">CEILING(ROUND($C38*P20*Assumptions!$B$10,3),$D38)</f>
        <v>3600</v>
      </c>
      <c r="Q38" s="79" t="n">
        <f aca="false">SUM(E38:P38)</f>
        <v>54400</v>
      </c>
      <c r="R38" s="80" t="n">
        <f aca="false">INDEX($E$23:$P$23,MATCH(MAX(E38:P38),E38:P38,0))</f>
        <v>46478</v>
      </c>
    </row>
    <row r="39" customFormat="false" ht="15" hidden="false" customHeight="false" outlineLevel="0" collapsed="false">
      <c r="A39" s="46" t="s">
        <v>687</v>
      </c>
      <c r="B39" s="47"/>
      <c r="C39" s="47"/>
      <c r="D39" s="47"/>
      <c r="E39" s="49" t="n">
        <f aca="false">SUM(E24:E38)</f>
        <v>224850</v>
      </c>
      <c r="F39" s="49" t="n">
        <f aca="false">SUM(F24:F38)</f>
        <v>220750</v>
      </c>
      <c r="G39" s="49" t="n">
        <f aca="false">SUM(G24:G38)</f>
        <v>218350</v>
      </c>
      <c r="H39" s="49" t="n">
        <f aca="false">SUM(H24:H38)</f>
        <v>221950</v>
      </c>
      <c r="I39" s="49" t="n">
        <f aca="false">SUM(I24:I38)</f>
        <v>246200</v>
      </c>
      <c r="J39" s="49" t="n">
        <f aca="false">SUM(J24:J38)</f>
        <v>253100</v>
      </c>
      <c r="K39" s="49" t="n">
        <f aca="false">SUM(K24:K38)</f>
        <v>240450</v>
      </c>
      <c r="L39" s="49" t="n">
        <f aca="false">SUM(L24:L38)</f>
        <v>210100</v>
      </c>
      <c r="M39" s="49" t="n">
        <f aca="false">SUM(M24:M38)</f>
        <v>176950</v>
      </c>
      <c r="N39" s="49" t="n">
        <f aca="false">SUM(N24:N38)</f>
        <v>170500</v>
      </c>
      <c r="O39" s="49" t="n">
        <f aca="false">SUM(O24:O38)</f>
        <v>197200</v>
      </c>
      <c r="P39" s="49" t="n">
        <f aca="false">SUM(P24:P38)</f>
        <v>240300</v>
      </c>
      <c r="Q39" s="49" t="n">
        <f aca="false">SUM(E39:P39)</f>
        <v>2620700</v>
      </c>
      <c r="R39" s="81" t="n">
        <f aca="false">INDEX($E$23:$P$23,MATCH(MAX(E39:P39),E39:P39,0))</f>
        <v>46478</v>
      </c>
    </row>
    <row r="40" customFormat="false" ht="15" hidden="false" customHeight="false" outlineLevel="0" collapsed="false">
      <c r="A40" s="46" t="s">
        <v>688</v>
      </c>
      <c r="B40" s="82" t="s">
        <v>689</v>
      </c>
      <c r="C40" s="47"/>
      <c r="D40" s="47"/>
      <c r="E40" s="50" t="n">
        <f aca="false">SUMPRODUCT(E24:E38,Products!$O$2:$O$16)/Assumptions!$B$20</f>
        <v>2717.44</v>
      </c>
      <c r="F40" s="50" t="n">
        <f aca="false">SUMPRODUCT(F24:F38,Products!$O$2:$O$16)/Assumptions!$B$20</f>
        <v>2462.5875</v>
      </c>
      <c r="G40" s="50" t="n">
        <f aca="false">SUMPRODUCT(G24:G38,Products!$O$2:$O$16)/Assumptions!$B$20</f>
        <v>2434.59</v>
      </c>
      <c r="H40" s="50" t="n">
        <f aca="false">SUMPRODUCT(H24:H38,Products!$O$2:$O$16)/Assumptions!$B$20</f>
        <v>2875.3175</v>
      </c>
      <c r="I40" s="50" t="n">
        <f aca="false">SUMPRODUCT(I24:I38,Products!$O$2:$O$16)/Assumptions!$B$20</f>
        <v>3746.18</v>
      </c>
      <c r="J40" s="50" t="n">
        <f aca="false">SUMPRODUCT(J24:J38,Products!$O$2:$O$16)/Assumptions!$B$20</f>
        <v>4114.84</v>
      </c>
      <c r="K40" s="50" t="n">
        <f aca="false">SUMPRODUCT(K24:K38,Products!$O$2:$O$16)/Assumptions!$B$20</f>
        <v>3922.03</v>
      </c>
      <c r="L40" s="50" t="n">
        <f aca="false">SUMPRODUCT(L24:L38,Products!$O$2:$O$16)/Assumptions!$B$20</f>
        <v>3287.39</v>
      </c>
      <c r="M40" s="50" t="n">
        <f aca="false">SUMPRODUCT(M24:M38,Products!$O$2:$O$16)/Assumptions!$B$20</f>
        <v>2556.83</v>
      </c>
      <c r="N40" s="50" t="n">
        <f aca="false">SUMPRODUCT(N24:N38,Products!$O$2:$O$16)/Assumptions!$B$20</f>
        <v>2380.8125</v>
      </c>
      <c r="O40" s="50" t="n">
        <f aca="false">SUMPRODUCT(O24:O38,Products!$O$2:$O$16)/Assumptions!$B$20</f>
        <v>2761.2425</v>
      </c>
      <c r="P40" s="50" t="n">
        <f aca="false">SUMPRODUCT(P24:P38,Products!$O$2:$O$16)/Assumptions!$B$20</f>
        <v>3128.3575</v>
      </c>
      <c r="Q40" s="50" t="n">
        <f aca="false">SUM(E40:P40)</f>
        <v>36387.6175</v>
      </c>
      <c r="R40" s="81" t="n">
        <f aca="false">INDEX($E$23:$P$23,MATCH(MAX(E40:P40),E40:P40,0))</f>
        <v>46478</v>
      </c>
    </row>
    <row r="42" customFormat="false" ht="19.5" hidden="false" customHeight="true" outlineLevel="0" collapsed="false">
      <c r="A42" s="3" t="s">
        <v>690</v>
      </c>
      <c r="B42" s="4"/>
      <c r="C42" s="4"/>
      <c r="D42" s="4"/>
      <c r="E42" s="4"/>
      <c r="F42" s="4"/>
      <c r="G42" s="4"/>
      <c r="H42" s="4"/>
      <c r="I42" s="4"/>
      <c r="J42" s="4"/>
      <c r="K42" s="4"/>
      <c r="L42" s="4"/>
      <c r="M42" s="4"/>
      <c r="N42" s="4"/>
      <c r="O42" s="4"/>
      <c r="P42" s="4"/>
      <c r="Q42" s="4"/>
      <c r="R42" s="4"/>
    </row>
    <row r="43" customFormat="false" ht="24" hidden="false" customHeight="true" outlineLevel="0" collapsed="false">
      <c r="A43" s="8" t="s">
        <v>115</v>
      </c>
      <c r="B43" s="8"/>
      <c r="C43" s="8"/>
      <c r="D43" s="8"/>
      <c r="E43" s="25" t="n">
        <f aca="false">E$5</f>
        <v>46327</v>
      </c>
      <c r="F43" s="25" t="n">
        <f aca="false">F$5</f>
        <v>46357</v>
      </c>
      <c r="G43" s="25" t="n">
        <f aca="false">G$5</f>
        <v>46388</v>
      </c>
      <c r="H43" s="25" t="n">
        <f aca="false">H$5</f>
        <v>46419</v>
      </c>
      <c r="I43" s="25" t="n">
        <f aca="false">I$5</f>
        <v>46447</v>
      </c>
      <c r="J43" s="25" t="n">
        <f aca="false">J$5</f>
        <v>46478</v>
      </c>
      <c r="K43" s="25" t="n">
        <f aca="false">K$5</f>
        <v>46508</v>
      </c>
      <c r="L43" s="25" t="n">
        <f aca="false">L$5</f>
        <v>46539</v>
      </c>
      <c r="M43" s="25" t="n">
        <f aca="false">M$5</f>
        <v>46569</v>
      </c>
      <c r="N43" s="25" t="n">
        <f aca="false">N$5</f>
        <v>46600</v>
      </c>
      <c r="O43" s="25" t="n">
        <f aca="false">O$5</f>
        <v>46631</v>
      </c>
      <c r="P43" s="25" t="n">
        <f aca="false">P$5</f>
        <v>46661</v>
      </c>
      <c r="Q43" s="8" t="s">
        <v>691</v>
      </c>
    </row>
    <row r="44" customFormat="false" ht="15" hidden="false" customHeight="false" outlineLevel="0" collapsed="false">
      <c r="A44" s="6" t="s">
        <v>193</v>
      </c>
      <c r="B44" s="7"/>
      <c r="C44" s="7"/>
      <c r="D44" s="7"/>
      <c r="E44" s="33" t="n">
        <f aca="false">SUMPRODUCT((Products!$C$2:$C$16=$A44)*E$24:E$38*Products!$O$2:$O$16)/Assumptions!$B$20</f>
        <v>936.405</v>
      </c>
      <c r="F44" s="33" t="n">
        <f aca="false">SUMPRODUCT((Products!$C$2:$C$16=$A44)*F$24:F$38*Products!$O$2:$O$16)/Assumptions!$B$20</f>
        <v>787.66</v>
      </c>
      <c r="G44" s="33" t="n">
        <f aca="false">SUMPRODUCT((Products!$C$2:$C$16=$A44)*G$24:G$38*Products!$O$2:$O$16)/Assumptions!$B$20</f>
        <v>852.28</v>
      </c>
      <c r="H44" s="33" t="n">
        <f aca="false">SUMPRODUCT((Products!$C$2:$C$16=$A44)*H$24:H$38*Products!$O$2:$O$16)/Assumptions!$B$20</f>
        <v>1418.31</v>
      </c>
      <c r="I44" s="33" t="n">
        <f aca="false">SUMPRODUCT((Products!$C$2:$C$16=$A44)*I$24:I$38*Products!$O$2:$O$16)/Assumptions!$B$20</f>
        <v>2484.295</v>
      </c>
      <c r="J44" s="33" t="n">
        <f aca="false">SUMPRODUCT((Products!$C$2:$C$16=$A44)*J$24:J$38*Products!$O$2:$O$16)/Assumptions!$B$20</f>
        <v>2979.5</v>
      </c>
      <c r="K44" s="33" t="n">
        <f aca="false">SUMPRODUCT((Products!$C$2:$C$16=$A44)*K$24:K$38*Products!$O$2:$O$16)/Assumptions!$B$20</f>
        <v>2805.34</v>
      </c>
      <c r="L44" s="33" t="n">
        <f aca="false">SUMPRODUCT((Products!$C$2:$C$16=$A44)*L$24:L$38*Products!$O$2:$O$16)/Assumptions!$B$20</f>
        <v>2161.185</v>
      </c>
      <c r="M44" s="33" t="n">
        <f aca="false">SUMPRODUCT((Products!$C$2:$C$16=$A44)*M$24:M$38*Products!$O$2:$O$16)/Assumptions!$B$20</f>
        <v>1447.105</v>
      </c>
      <c r="N44" s="33" t="n">
        <f aca="false">SUMPRODUCT((Products!$C$2:$C$16=$A44)*N$24:N$38*Products!$O$2:$O$16)/Assumptions!$B$20</f>
        <v>1233.815</v>
      </c>
      <c r="O44" s="33" t="n">
        <f aca="false">SUMPRODUCT((Products!$C$2:$C$16=$A44)*O$24:O$38*Products!$O$2:$O$16)/Assumptions!$B$20</f>
        <v>1510.52</v>
      </c>
      <c r="P44" s="33" t="n">
        <f aca="false">SUMPRODUCT((Products!$C$2:$C$16=$A44)*P$24:P$38*Products!$O$2:$O$16)/Assumptions!$B$20</f>
        <v>1478.63</v>
      </c>
      <c r="Q44" s="70" t="n">
        <f aca="false">SUM(E44:P44)</f>
        <v>20095.045</v>
      </c>
    </row>
    <row r="45" customFormat="false" ht="15" hidden="false" customHeight="false" outlineLevel="0" collapsed="false">
      <c r="A45" s="6" t="s">
        <v>218</v>
      </c>
      <c r="B45" s="7"/>
      <c r="C45" s="7"/>
      <c r="D45" s="7"/>
      <c r="E45" s="33" t="n">
        <f aca="false">SUMPRODUCT((Products!$C$2:$C$16=$A45)*E$24:E$38*Products!$O$2:$O$16)/Assumptions!$B$20</f>
        <v>1257.85</v>
      </c>
      <c r="F45" s="33" t="n">
        <f aca="false">SUMPRODUCT((Products!$C$2:$C$16=$A45)*F$24:F$38*Products!$O$2:$O$16)/Assumptions!$B$20</f>
        <v>1089.9875</v>
      </c>
      <c r="G45" s="33" t="n">
        <f aca="false">SUMPRODUCT((Products!$C$2:$C$16=$A45)*G$24:G$38*Products!$O$2:$O$16)/Assumptions!$B$20</f>
        <v>979.425</v>
      </c>
      <c r="H45" s="33" t="n">
        <f aca="false">SUMPRODUCT((Products!$C$2:$C$16=$A45)*H$24:H$38*Products!$O$2:$O$16)/Assumptions!$B$20</f>
        <v>984.3125</v>
      </c>
      <c r="I45" s="33" t="n">
        <f aca="false">SUMPRODUCT((Products!$C$2:$C$16=$A45)*I$24:I$38*Products!$O$2:$O$16)/Assumptions!$B$20</f>
        <v>890.825</v>
      </c>
      <c r="J45" s="33" t="n">
        <f aca="false">SUMPRODUCT((Products!$C$2:$C$16=$A45)*J$24:J$38*Products!$O$2:$O$16)/Assumptions!$B$20</f>
        <v>793.975</v>
      </c>
      <c r="K45" s="33" t="n">
        <f aca="false">SUMPRODUCT((Products!$C$2:$C$16=$A45)*K$24:K$38*Products!$O$2:$O$16)/Assumptions!$B$20</f>
        <v>788.375</v>
      </c>
      <c r="L45" s="33" t="n">
        <f aca="false">SUMPRODUCT((Products!$C$2:$C$16=$A45)*L$24:L$38*Products!$O$2:$O$16)/Assumptions!$B$20</f>
        <v>806.5</v>
      </c>
      <c r="M45" s="33" t="n">
        <f aca="false">SUMPRODUCT((Products!$C$2:$C$16=$A45)*M$24:M$38*Products!$O$2:$O$16)/Assumptions!$B$20</f>
        <v>824.05</v>
      </c>
      <c r="N45" s="33" t="n">
        <f aca="false">SUMPRODUCT((Products!$C$2:$C$16=$A45)*N$24:N$38*Products!$O$2:$O$16)/Assumptions!$B$20</f>
        <v>872.7625</v>
      </c>
      <c r="O45" s="33" t="n">
        <f aca="false">SUMPRODUCT((Products!$C$2:$C$16=$A45)*O$24:O$38*Products!$O$2:$O$16)/Assumptions!$B$20</f>
        <v>960.1125</v>
      </c>
      <c r="P45" s="33" t="n">
        <f aca="false">SUMPRODUCT((Products!$C$2:$C$16=$A45)*P$24:P$38*Products!$O$2:$O$16)/Assumptions!$B$20</f>
        <v>1251.7375</v>
      </c>
      <c r="Q45" s="70" t="n">
        <f aca="false">SUM(E45:P45)</f>
        <v>11499.9125</v>
      </c>
    </row>
    <row r="46" customFormat="false" ht="15" hidden="false" customHeight="false" outlineLevel="0" collapsed="false">
      <c r="A46" s="6" t="s">
        <v>239</v>
      </c>
      <c r="B46" s="7"/>
      <c r="C46" s="7"/>
      <c r="D46" s="7"/>
      <c r="E46" s="33" t="n">
        <f aca="false">SUMPRODUCT((Products!$C$2:$C$16=$A46)*E$24:E$38*Products!$O$2:$O$16)/Assumptions!$B$20</f>
        <v>523.185</v>
      </c>
      <c r="F46" s="33" t="n">
        <f aca="false">SUMPRODUCT((Products!$C$2:$C$16=$A46)*F$24:F$38*Products!$O$2:$O$16)/Assumptions!$B$20</f>
        <v>584.94</v>
      </c>
      <c r="G46" s="33" t="n">
        <f aca="false">SUMPRODUCT((Products!$C$2:$C$16=$A46)*G$24:G$38*Products!$O$2:$O$16)/Assumptions!$B$20</f>
        <v>602.885</v>
      </c>
      <c r="H46" s="33" t="n">
        <f aca="false">SUMPRODUCT((Products!$C$2:$C$16=$A46)*H$24:H$38*Products!$O$2:$O$16)/Assumptions!$B$20</f>
        <v>472.695</v>
      </c>
      <c r="I46" s="33" t="n">
        <f aca="false">SUMPRODUCT((Products!$C$2:$C$16=$A46)*I$24:I$38*Products!$O$2:$O$16)/Assumptions!$B$20</f>
        <v>371.06</v>
      </c>
      <c r="J46" s="33" t="n">
        <f aca="false">SUMPRODUCT((Products!$C$2:$C$16=$A46)*J$24:J$38*Products!$O$2:$O$16)/Assumptions!$B$20</f>
        <v>341.365</v>
      </c>
      <c r="K46" s="33" t="n">
        <f aca="false">SUMPRODUCT((Products!$C$2:$C$16=$A46)*K$24:K$38*Products!$O$2:$O$16)/Assumptions!$B$20</f>
        <v>328.315</v>
      </c>
      <c r="L46" s="33" t="n">
        <f aca="false">SUMPRODUCT((Products!$C$2:$C$16=$A46)*L$24:L$38*Products!$O$2:$O$16)/Assumptions!$B$20</f>
        <v>319.705</v>
      </c>
      <c r="M46" s="33" t="n">
        <f aca="false">SUMPRODUCT((Products!$C$2:$C$16=$A46)*M$24:M$38*Products!$O$2:$O$16)/Assumptions!$B$20</f>
        <v>285.675</v>
      </c>
      <c r="N46" s="33" t="n">
        <f aca="false">SUMPRODUCT((Products!$C$2:$C$16=$A46)*N$24:N$38*Products!$O$2:$O$16)/Assumptions!$B$20</f>
        <v>274.235</v>
      </c>
      <c r="O46" s="33" t="n">
        <f aca="false">SUMPRODUCT((Products!$C$2:$C$16=$A46)*O$24:O$38*Products!$O$2:$O$16)/Assumptions!$B$20</f>
        <v>290.61</v>
      </c>
      <c r="P46" s="33" t="n">
        <f aca="false">SUMPRODUCT((Products!$C$2:$C$16=$A46)*P$24:P$38*Products!$O$2:$O$16)/Assumptions!$B$20</f>
        <v>397.99</v>
      </c>
      <c r="Q46" s="70" t="n">
        <f aca="false">SUM(E46:P46)</f>
        <v>4792.66</v>
      </c>
    </row>
    <row r="47" customFormat="false" ht="15" hidden="false" customHeight="false" outlineLevel="0" collapsed="false">
      <c r="A47" s="46" t="s">
        <v>692</v>
      </c>
      <c r="B47" s="47"/>
      <c r="C47" s="47"/>
      <c r="D47" s="47"/>
      <c r="E47" s="50" t="n">
        <f aca="false">SUM(E44:E46)</f>
        <v>2717.44</v>
      </c>
      <c r="F47" s="50" t="n">
        <f aca="false">SUM(F44:F46)</f>
        <v>2462.5875</v>
      </c>
      <c r="G47" s="50" t="n">
        <f aca="false">SUM(G44:G46)</f>
        <v>2434.59</v>
      </c>
      <c r="H47" s="50" t="n">
        <f aca="false">SUM(H44:H46)</f>
        <v>2875.3175</v>
      </c>
      <c r="I47" s="50" t="n">
        <f aca="false">SUM(I44:I46)</f>
        <v>3746.18</v>
      </c>
      <c r="J47" s="50" t="n">
        <f aca="false">SUM(J44:J46)</f>
        <v>4114.84</v>
      </c>
      <c r="K47" s="50" t="n">
        <f aca="false">SUM(K44:K46)</f>
        <v>3922.03</v>
      </c>
      <c r="L47" s="50" t="n">
        <f aca="false">SUM(L44:L46)</f>
        <v>3287.39</v>
      </c>
      <c r="M47" s="50" t="n">
        <f aca="false">SUM(M44:M46)</f>
        <v>2556.83</v>
      </c>
      <c r="N47" s="50" t="n">
        <f aca="false">SUM(N44:N46)</f>
        <v>2380.8125</v>
      </c>
      <c r="O47" s="50" t="n">
        <f aca="false">SUM(O44:O46)</f>
        <v>2761.2425</v>
      </c>
      <c r="P47" s="50" t="n">
        <f aca="false">SUM(P44:P46)</f>
        <v>3128.3575</v>
      </c>
      <c r="Q47" s="50" t="n">
        <f aca="false">SUM(E47:P47)</f>
        <v>36387.6175</v>
      </c>
    </row>
    <row r="49" customFormat="false" ht="15" hidden="false" customHeight="false" outlineLevel="0" collapsed="false">
      <c r="A49" s="27" t="s">
        <v>693</v>
      </c>
    </row>
    <row r="50" customFormat="false" ht="15" hidden="false" customHeight="false" outlineLevel="0" collapsed="false">
      <c r="A50" s="27" t="s">
        <v>694</v>
      </c>
    </row>
  </sheetData>
  <conditionalFormatting sqref="E6:P20">
    <cfRule type="colorScale" priority="2">
      <colorScale>
        <cfvo type="num" val="0"/>
        <cfvo type="num" val="3"/>
        <color rgb="FFFFFFFF"/>
        <color rgb="FF86B6EF"/>
      </colorScale>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V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15" min="4" style="0" width="11.5"/>
    <col collapsed="false" customWidth="true" hidden="false" outlineLevel="0" max="16" min="16" style="0" width="15"/>
    <col collapsed="false" customWidth="true" hidden="false" outlineLevel="0" max="18" min="17" style="0" width="14"/>
    <col collapsed="false" customWidth="true" hidden="false" outlineLevel="0" max="19" min="19" style="0" width="11"/>
    <col collapsed="false" customWidth="true" hidden="false" outlineLevel="0" max="21" min="20" style="0" width="14"/>
    <col collapsed="false" customWidth="true" hidden="false" outlineLevel="0" max="22" min="22" style="0" width="10"/>
  </cols>
  <sheetData>
    <row r="1" customFormat="false" ht="24" hidden="false" customHeight="true" outlineLevel="0" collapsed="false">
      <c r="A1" s="34" t="s">
        <v>695</v>
      </c>
    </row>
    <row r="2" customFormat="false" ht="15" hidden="false" customHeight="false" outlineLevel="0" collapsed="false">
      <c r="A2" s="35" t="s">
        <v>696</v>
      </c>
    </row>
    <row r="4" customFormat="false" ht="36" hidden="false" customHeight="true" outlineLevel="0" collapsed="false">
      <c r="A4" s="8" t="s">
        <v>258</v>
      </c>
      <c r="B4" s="8" t="s">
        <v>259</v>
      </c>
      <c r="C4" s="8" t="s">
        <v>262</v>
      </c>
      <c r="D4" s="25" t="n">
        <f aca="false">Demand_Plan!E$23</f>
        <v>46327</v>
      </c>
      <c r="E4" s="25" t="n">
        <f aca="false">Demand_Plan!F$23</f>
        <v>46357</v>
      </c>
      <c r="F4" s="25" t="n">
        <f aca="false">Demand_Plan!G$23</f>
        <v>46388</v>
      </c>
      <c r="G4" s="25" t="n">
        <f aca="false">Demand_Plan!H$23</f>
        <v>46419</v>
      </c>
      <c r="H4" s="25" t="n">
        <f aca="false">Demand_Plan!I$23</f>
        <v>46447</v>
      </c>
      <c r="I4" s="25" t="n">
        <f aca="false">Demand_Plan!J$23</f>
        <v>46478</v>
      </c>
      <c r="J4" s="25" t="n">
        <f aca="false">Demand_Plan!K$23</f>
        <v>46508</v>
      </c>
      <c r="K4" s="25" t="n">
        <f aca="false">Demand_Plan!L$23</f>
        <v>46539</v>
      </c>
      <c r="L4" s="25" t="n">
        <f aca="false">Demand_Plan!M$23</f>
        <v>46569</v>
      </c>
      <c r="M4" s="25" t="n">
        <f aca="false">Demand_Plan!N$23</f>
        <v>46600</v>
      </c>
      <c r="N4" s="25" t="n">
        <f aca="false">Demand_Plan!O$23</f>
        <v>46631</v>
      </c>
      <c r="O4" s="25" t="n">
        <f aca="false">Demand_Plan!P$23</f>
        <v>46661</v>
      </c>
      <c r="P4" s="8" t="s">
        <v>697</v>
      </c>
      <c r="Q4" s="8" t="s">
        <v>698</v>
      </c>
      <c r="R4" s="8" t="s">
        <v>699</v>
      </c>
      <c r="S4" s="8" t="s">
        <v>113</v>
      </c>
      <c r="T4" s="8" t="s">
        <v>700</v>
      </c>
      <c r="U4" s="8" t="s">
        <v>701</v>
      </c>
      <c r="V4" s="8" t="s">
        <v>702</v>
      </c>
    </row>
    <row r="5" customFormat="false" ht="15" hidden="false" customHeight="false" outlineLevel="0" collapsed="false">
      <c r="A5" s="6" t="s">
        <v>277</v>
      </c>
      <c r="B5" s="43" t="str">
        <f aca="false">INDEX(RawMaterials!$B$2:$B$11,MATCH($A5,RawMaterials!$A$2:$A$11,0))</f>
        <v>CRNGO Electrical Steel Coil</v>
      </c>
      <c r="C5" s="10" t="s">
        <v>282</v>
      </c>
      <c r="D5" s="29" t="n">
        <f aca="false">SUMPRODUCT(Demand_Plan!E$24:E$38,INDEX(BOM_Matrix!$C$26:$L$40,0,MATCH($A5,BOM_Matrix!$C$25:$L$25,0)))</f>
        <v>88055.7142857143</v>
      </c>
      <c r="E5" s="29" t="n">
        <f aca="false">SUMPRODUCT(Demand_Plan!F$24:F$38,INDEX(BOM_Matrix!$C$26:$L$40,0,MATCH($A5,BOM_Matrix!$C$25:$L$25,0)))</f>
        <v>75161.4285714286</v>
      </c>
      <c r="F5" s="29" t="n">
        <f aca="false">SUMPRODUCT(Demand_Plan!G$24:G$38,INDEX(BOM_Matrix!$C$26:$L$40,0,MATCH($A5,BOM_Matrix!$C$25:$L$25,0)))</f>
        <v>75580.7142857143</v>
      </c>
      <c r="G5" s="29" t="n">
        <f aca="false">SUMPRODUCT(Demand_Plan!H$24:H$38,INDEX(BOM_Matrix!$C$26:$L$40,0,MATCH($A5,BOM_Matrix!$C$25:$L$25,0)))</f>
        <v>102468.571428571</v>
      </c>
      <c r="H5" s="29" t="n">
        <f aca="false">SUMPRODUCT(Demand_Plan!I$24:I$38,INDEX(BOM_Matrix!$C$26:$L$40,0,MATCH($A5,BOM_Matrix!$C$25:$L$25,0)))</f>
        <v>146130</v>
      </c>
      <c r="I5" s="29" t="n">
        <f aca="false">SUMPRODUCT(Demand_Plan!J$24:J$38,INDEX(BOM_Matrix!$C$26:$L$40,0,MATCH($A5,BOM_Matrix!$C$25:$L$25,0)))</f>
        <v>165567.857142857</v>
      </c>
      <c r="J5" s="29" t="n">
        <f aca="false">SUMPRODUCT(Demand_Plan!K$24:K$38,INDEX(BOM_Matrix!$C$26:$L$40,0,MATCH($A5,BOM_Matrix!$C$25:$L$25,0)))</f>
        <v>158617.142857143</v>
      </c>
      <c r="K5" s="29" t="n">
        <f aca="false">SUMPRODUCT(Demand_Plan!L$24:L$38,INDEX(BOM_Matrix!$C$26:$L$40,0,MATCH($A5,BOM_Matrix!$C$25:$L$25,0)))</f>
        <v>131640</v>
      </c>
      <c r="L5" s="29" t="n">
        <f aca="false">SUMPRODUCT(Demand_Plan!M$24:M$38,INDEX(BOM_Matrix!$C$26:$L$40,0,MATCH($A5,BOM_Matrix!$C$25:$L$25,0)))</f>
        <v>97284.2857142857</v>
      </c>
      <c r="M5" s="29" t="n">
        <f aca="false">SUMPRODUCT(Demand_Plan!N$24:N$38,INDEX(BOM_Matrix!$C$26:$L$40,0,MATCH($A5,BOM_Matrix!$C$25:$L$25,0)))</f>
        <v>88713.5714285714</v>
      </c>
      <c r="N5" s="29" t="n">
        <f aca="false">SUMPRODUCT(Demand_Plan!O$24:O$38,INDEX(BOM_Matrix!$C$26:$L$40,0,MATCH($A5,BOM_Matrix!$C$25:$L$25,0)))</f>
        <v>103315.714285714</v>
      </c>
      <c r="O5" s="29" t="n">
        <f aca="false">SUMPRODUCT(Demand_Plan!P$24:P$38,INDEX(BOM_Matrix!$C$26:$L$40,0,MATCH($A5,BOM_Matrix!$C$25:$L$25,0)))</f>
        <v>111312.857142857</v>
      </c>
      <c r="P5" s="79" t="n">
        <f aca="false">SUM(D5:O5)</f>
        <v>1343847.85714286</v>
      </c>
      <c r="Q5" s="29" t="n">
        <f aca="false">P5/12</f>
        <v>111987.321428571</v>
      </c>
      <c r="R5" s="29" t="n">
        <f aca="false">MAX(D5:O5)</f>
        <v>165567.857142857</v>
      </c>
      <c r="S5" s="80" t="n">
        <f aca="false">INDEX($D$4:$O$4,MATCH(R5,D5:O5,0))</f>
        <v>46478</v>
      </c>
      <c r="T5" s="29" t="n">
        <f aca="false">SUMPRODUCT(Demand_Plan!$Q$24:$Q$38,INDEX(BOM_Matrix!$C$6:$L$20,0,MATCH($A5,BOM_Matrix!$C$5:$L$5,0)))</f>
        <v>940693.5</v>
      </c>
      <c r="U5" s="29" t="n">
        <f aca="false">P5-T5</f>
        <v>403154.357142857</v>
      </c>
      <c r="V5" s="32" t="n">
        <f aca="false">IF(P5=0,0,U5/P5)</f>
        <v>0.3</v>
      </c>
    </row>
    <row r="6" customFormat="false" ht="15" hidden="false" customHeight="false" outlineLevel="0" collapsed="false">
      <c r="A6" s="6" t="s">
        <v>286</v>
      </c>
      <c r="B6" s="43" t="str">
        <f aca="false">INDEX(RawMaterials!$B$2:$B$11,MATCH($A6,RawMaterials!$A$2:$A$11,0))</f>
        <v>CRCA Steel Sheet / Coil</v>
      </c>
      <c r="C6" s="10" t="s">
        <v>282</v>
      </c>
      <c r="D6" s="29" t="n">
        <f aca="false">SUMPRODUCT(Demand_Plan!E$24:E$38,INDEX(BOM_Matrix!$C$26:$L$40,0,MATCH($A6,BOM_Matrix!$C$25:$L$25,0)))</f>
        <v>143579.411764706</v>
      </c>
      <c r="E6" s="29" t="n">
        <f aca="false">SUMPRODUCT(Demand_Plan!F$24:F$38,INDEX(BOM_Matrix!$C$26:$L$40,0,MATCH($A6,BOM_Matrix!$C$25:$L$25,0)))</f>
        <v>130988.235294118</v>
      </c>
      <c r="F6" s="29" t="n">
        <f aca="false">SUMPRODUCT(Demand_Plan!G$24:G$38,INDEX(BOM_Matrix!$C$26:$L$40,0,MATCH($A6,BOM_Matrix!$C$25:$L$25,0)))</f>
        <v>136250</v>
      </c>
      <c r="G6" s="29" t="n">
        <f aca="false">SUMPRODUCT(Demand_Plan!H$24:H$38,INDEX(BOM_Matrix!$C$26:$L$40,0,MATCH($A6,BOM_Matrix!$C$25:$L$25,0)))</f>
        <v>178255.882352941</v>
      </c>
      <c r="H6" s="29" t="n">
        <f aca="false">SUMPRODUCT(Demand_Plan!I$24:I$38,INDEX(BOM_Matrix!$C$26:$L$40,0,MATCH($A6,BOM_Matrix!$C$25:$L$25,0)))</f>
        <v>259688.235294118</v>
      </c>
      <c r="I6" s="29" t="n">
        <f aca="false">SUMPRODUCT(Demand_Plan!J$24:J$38,INDEX(BOM_Matrix!$C$26:$L$40,0,MATCH($A6,BOM_Matrix!$C$25:$L$25,0)))</f>
        <v>298729.411764706</v>
      </c>
      <c r="J6" s="29" t="n">
        <f aca="false">SUMPRODUCT(Demand_Plan!K$24:K$38,INDEX(BOM_Matrix!$C$26:$L$40,0,MATCH($A6,BOM_Matrix!$C$25:$L$25,0)))</f>
        <v>283573.529411765</v>
      </c>
      <c r="K6" s="29" t="n">
        <f aca="false">SUMPRODUCT(Demand_Plan!L$24:L$38,INDEX(BOM_Matrix!$C$26:$L$40,0,MATCH($A6,BOM_Matrix!$C$25:$L$25,0)))</f>
        <v>229564.705882353</v>
      </c>
      <c r="L6" s="29" t="n">
        <f aca="false">SUMPRODUCT(Demand_Plan!M$24:M$38,INDEX(BOM_Matrix!$C$26:$L$40,0,MATCH($A6,BOM_Matrix!$C$25:$L$25,0)))</f>
        <v>162897.058823529</v>
      </c>
      <c r="M6" s="29" t="n">
        <f aca="false">SUMPRODUCT(Demand_Plan!N$24:N$38,INDEX(BOM_Matrix!$C$26:$L$40,0,MATCH($A6,BOM_Matrix!$C$25:$L$25,0)))</f>
        <v>146405.882352941</v>
      </c>
      <c r="N6" s="29" t="n">
        <f aca="false">SUMPRODUCT(Demand_Plan!O$24:O$38,INDEX(BOM_Matrix!$C$26:$L$40,0,MATCH($A6,BOM_Matrix!$C$25:$L$25,0)))</f>
        <v>180279.411764706</v>
      </c>
      <c r="O6" s="29" t="n">
        <f aca="false">SUMPRODUCT(Demand_Plan!P$24:P$38,INDEX(BOM_Matrix!$C$26:$L$40,0,MATCH($A6,BOM_Matrix!$C$25:$L$25,0)))</f>
        <v>190794.117647059</v>
      </c>
      <c r="P6" s="79" t="n">
        <f aca="false">SUM(D6:O6)</f>
        <v>2341005.88235294</v>
      </c>
      <c r="Q6" s="29" t="n">
        <f aca="false">P6/12</f>
        <v>195083.823529412</v>
      </c>
      <c r="R6" s="29" t="n">
        <f aca="false">MAX(D6:O6)</f>
        <v>298729.411764706</v>
      </c>
      <c r="S6" s="80" t="n">
        <f aca="false">INDEX($D$4:$O$4,MATCH(R6,D6:O6,0))</f>
        <v>46478</v>
      </c>
      <c r="T6" s="29" t="n">
        <f aca="false">SUMPRODUCT(Demand_Plan!$Q$24:$Q$38,INDEX(BOM_Matrix!$C$6:$L$20,0,MATCH($A6,BOM_Matrix!$C$5:$L$5,0)))</f>
        <v>1989855</v>
      </c>
      <c r="U6" s="29" t="n">
        <f aca="false">P6-T6</f>
        <v>351150.882352941</v>
      </c>
      <c r="V6" s="32" t="n">
        <f aca="false">IF(P6=0,0,U6/P6)</f>
        <v>0.15</v>
      </c>
    </row>
    <row r="7" customFormat="false" ht="15" hidden="false" customHeight="false" outlineLevel="0" collapsed="false">
      <c r="A7" s="6" t="s">
        <v>292</v>
      </c>
      <c r="B7" s="43" t="str">
        <f aca="false">INDEX(RawMaterials!$B$2:$B$11,MATCH($A7,RawMaterials!$A$2:$A$11,0))</f>
        <v>Aluminium Alloy Ingot (ADC12)</v>
      </c>
      <c r="C7" s="10" t="s">
        <v>282</v>
      </c>
      <c r="D7" s="29" t="n">
        <f aca="false">SUMPRODUCT(Demand_Plan!E$24:E$38,INDEX(BOM_Matrix!$C$26:$L$40,0,MATCH($A7,BOM_Matrix!$C$25:$L$25,0)))</f>
        <v>65432.0652173913</v>
      </c>
      <c r="E7" s="29" t="n">
        <f aca="false">SUMPRODUCT(Demand_Plan!F$24:F$38,INDEX(BOM_Matrix!$C$26:$L$40,0,MATCH($A7,BOM_Matrix!$C$25:$L$25,0)))</f>
        <v>57326.0869565217</v>
      </c>
      <c r="F7" s="29" t="n">
        <f aca="false">SUMPRODUCT(Demand_Plan!G$24:G$38,INDEX(BOM_Matrix!$C$26:$L$40,0,MATCH($A7,BOM_Matrix!$C$25:$L$25,0)))</f>
        <v>56304.347826087</v>
      </c>
      <c r="G7" s="29" t="n">
        <f aca="false">SUMPRODUCT(Demand_Plan!H$24:H$38,INDEX(BOM_Matrix!$C$26:$L$40,0,MATCH($A7,BOM_Matrix!$C$25:$L$25,0)))</f>
        <v>68051.6304347826</v>
      </c>
      <c r="H7" s="29" t="n">
        <f aca="false">SUMPRODUCT(Demand_Plan!I$24:I$38,INDEX(BOM_Matrix!$C$26:$L$40,0,MATCH($A7,BOM_Matrix!$C$25:$L$25,0)))</f>
        <v>87187.5</v>
      </c>
      <c r="I7" s="29" t="n">
        <f aca="false">SUMPRODUCT(Demand_Plan!J$24:J$38,INDEX(BOM_Matrix!$C$26:$L$40,0,MATCH($A7,BOM_Matrix!$C$25:$L$25,0)))</f>
        <v>94377.7173913044</v>
      </c>
      <c r="J7" s="29" t="n">
        <f aca="false">SUMPRODUCT(Demand_Plan!K$24:K$38,INDEX(BOM_Matrix!$C$26:$L$40,0,MATCH($A7,BOM_Matrix!$C$25:$L$25,0)))</f>
        <v>90692.9347826087</v>
      </c>
      <c r="K7" s="29" t="n">
        <f aca="false">SUMPRODUCT(Demand_Plan!L$24:L$38,INDEX(BOM_Matrix!$C$26:$L$40,0,MATCH($A7,BOM_Matrix!$C$25:$L$25,0)))</f>
        <v>78836.9565217391</v>
      </c>
      <c r="L7" s="29" t="n">
        <f aca="false">SUMPRODUCT(Demand_Plan!M$24:M$38,INDEX(BOM_Matrix!$C$26:$L$40,0,MATCH($A7,BOM_Matrix!$C$25:$L$25,0)))</f>
        <v>63282.6086956522</v>
      </c>
      <c r="M7" s="29" t="n">
        <f aca="false">SUMPRODUCT(Demand_Plan!N$24:N$38,INDEX(BOM_Matrix!$C$26:$L$40,0,MATCH($A7,BOM_Matrix!$C$25:$L$25,0)))</f>
        <v>60187.5</v>
      </c>
      <c r="N7" s="29" t="n">
        <f aca="false">SUMPRODUCT(Demand_Plan!O$24:O$38,INDEX(BOM_Matrix!$C$26:$L$40,0,MATCH($A7,BOM_Matrix!$C$25:$L$25,0)))</f>
        <v>68586.9565217391</v>
      </c>
      <c r="O7" s="29" t="n">
        <f aca="false">SUMPRODUCT(Demand_Plan!P$24:P$38,INDEX(BOM_Matrix!$C$26:$L$40,0,MATCH($A7,BOM_Matrix!$C$25:$L$25,0)))</f>
        <v>76461.9565217391</v>
      </c>
      <c r="P7" s="79" t="n">
        <f aca="false">SUM(D7:O7)</f>
        <v>866728.260869565</v>
      </c>
      <c r="Q7" s="29" t="n">
        <f aca="false">P7/12</f>
        <v>72227.3550724638</v>
      </c>
      <c r="R7" s="29" t="n">
        <f aca="false">MAX(D7:O7)</f>
        <v>94377.7173913044</v>
      </c>
      <c r="S7" s="80" t="n">
        <f aca="false">INDEX($D$4:$O$4,MATCH(R7,D7:O7,0))</f>
        <v>46478</v>
      </c>
      <c r="T7" s="29" t="n">
        <f aca="false">SUMPRODUCT(Demand_Plan!$Q$24:$Q$38,INDEX(BOM_Matrix!$C$6:$L$20,0,MATCH($A7,BOM_Matrix!$C$5:$L$5,0)))</f>
        <v>797390</v>
      </c>
      <c r="U7" s="29" t="n">
        <f aca="false">P7-T7</f>
        <v>69338.2608695652</v>
      </c>
      <c r="V7" s="32" t="n">
        <f aca="false">IF(P7=0,0,U7/P7)</f>
        <v>0.08</v>
      </c>
    </row>
    <row r="8" customFormat="false" ht="15" hidden="false" customHeight="false" outlineLevel="0" collapsed="false">
      <c r="A8" s="6" t="s">
        <v>300</v>
      </c>
      <c r="B8" s="43" t="str">
        <f aca="false">INDEX(RawMaterials!$B$2:$B$11,MATCH($A8,RawMaterials!$A$2:$A$11,0))</f>
        <v>Enamelled Copper Winding Wire</v>
      </c>
      <c r="C8" s="10" t="s">
        <v>282</v>
      </c>
      <c r="D8" s="29" t="n">
        <f aca="false">SUMPRODUCT(Demand_Plan!E$24:E$38,INDEX(BOM_Matrix!$C$26:$L$40,0,MATCH($A8,BOM_Matrix!$C$25:$L$25,0)))</f>
        <v>33067.8571428571</v>
      </c>
      <c r="E8" s="29" t="n">
        <f aca="false">SUMPRODUCT(Demand_Plan!F$24:F$38,INDEX(BOM_Matrix!$C$26:$L$40,0,MATCH($A8,BOM_Matrix!$C$25:$L$25,0)))</f>
        <v>28145.9183673469</v>
      </c>
      <c r="F8" s="29" t="n">
        <f aca="false">SUMPRODUCT(Demand_Plan!G$24:G$38,INDEX(BOM_Matrix!$C$26:$L$40,0,MATCH($A8,BOM_Matrix!$C$25:$L$25,0)))</f>
        <v>28169.8979591837</v>
      </c>
      <c r="G8" s="29" t="n">
        <f aca="false">SUMPRODUCT(Demand_Plan!H$24:H$38,INDEX(BOM_Matrix!$C$26:$L$40,0,MATCH($A8,BOM_Matrix!$C$25:$L$25,0)))</f>
        <v>38010.7142857143</v>
      </c>
      <c r="H8" s="29" t="n">
        <f aca="false">SUMPRODUCT(Demand_Plan!I$24:I$38,INDEX(BOM_Matrix!$C$26:$L$40,0,MATCH($A8,BOM_Matrix!$C$25:$L$25,0)))</f>
        <v>53975.5102040816</v>
      </c>
      <c r="I8" s="29" t="n">
        <f aca="false">SUMPRODUCT(Demand_Plan!J$24:J$38,INDEX(BOM_Matrix!$C$26:$L$40,0,MATCH($A8,BOM_Matrix!$C$25:$L$25,0)))</f>
        <v>60997.4489795918</v>
      </c>
      <c r="J8" s="29" t="n">
        <f aca="false">SUMPRODUCT(Demand_Plan!K$24:K$38,INDEX(BOM_Matrix!$C$26:$L$40,0,MATCH($A8,BOM_Matrix!$C$25:$L$25,0)))</f>
        <v>58379.5918367347</v>
      </c>
      <c r="K8" s="29" t="n">
        <f aca="false">SUMPRODUCT(Demand_Plan!L$24:L$38,INDEX(BOM_Matrix!$C$26:$L$40,0,MATCH($A8,BOM_Matrix!$C$25:$L$25,0)))</f>
        <v>48490.306122449</v>
      </c>
      <c r="L8" s="29" t="n">
        <f aca="false">SUMPRODUCT(Demand_Plan!M$24:M$38,INDEX(BOM_Matrix!$C$26:$L$40,0,MATCH($A8,BOM_Matrix!$C$25:$L$25,0)))</f>
        <v>36057.6530612245</v>
      </c>
      <c r="M8" s="29" t="n">
        <f aca="false">SUMPRODUCT(Demand_Plan!N$24:N$38,INDEX(BOM_Matrix!$C$26:$L$40,0,MATCH($A8,BOM_Matrix!$C$25:$L$25,0)))</f>
        <v>33014.7959183673</v>
      </c>
      <c r="N8" s="29" t="n">
        <f aca="false">SUMPRODUCT(Demand_Plan!O$24:O$38,INDEX(BOM_Matrix!$C$26:$L$40,0,MATCH($A8,BOM_Matrix!$C$25:$L$25,0)))</f>
        <v>38648.9795918367</v>
      </c>
      <c r="O8" s="29" t="n">
        <f aca="false">SUMPRODUCT(Demand_Plan!P$24:P$38,INDEX(BOM_Matrix!$C$26:$L$40,0,MATCH($A8,BOM_Matrix!$C$25:$L$25,0)))</f>
        <v>41800</v>
      </c>
      <c r="P8" s="79" t="n">
        <f aca="false">SUM(D8:O8)</f>
        <v>498758.673469388</v>
      </c>
      <c r="Q8" s="29" t="n">
        <f aca="false">P8/12</f>
        <v>41563.2227891156</v>
      </c>
      <c r="R8" s="29" t="n">
        <f aca="false">MAX(D8:O8)</f>
        <v>60997.4489795918</v>
      </c>
      <c r="S8" s="80" t="n">
        <f aca="false">INDEX($D$4:$O$4,MATCH(R8,D8:O8,0))</f>
        <v>46478</v>
      </c>
      <c r="T8" s="29" t="n">
        <f aca="false">SUMPRODUCT(Demand_Plan!$Q$24:$Q$38,INDEX(BOM_Matrix!$C$6:$L$20,0,MATCH($A8,BOM_Matrix!$C$5:$L$5,0)))</f>
        <v>488783.5</v>
      </c>
      <c r="U8" s="29" t="n">
        <f aca="false">P8-T8</f>
        <v>9975.17346938775</v>
      </c>
      <c r="V8" s="32" t="n">
        <f aca="false">IF(P8=0,0,U8/P8)</f>
        <v>0.02</v>
      </c>
    </row>
    <row r="9" customFormat="false" ht="15" hidden="false" customHeight="false" outlineLevel="0" collapsed="false">
      <c r="A9" s="6" t="s">
        <v>306</v>
      </c>
      <c r="B9" s="43" t="str">
        <f aca="false">INDEX(RawMaterials!$B$2:$B$11,MATCH($A9,RawMaterials!$A$2:$A$11,0))</f>
        <v>Polypropylene (PP) Granules</v>
      </c>
      <c r="C9" s="10" t="s">
        <v>282</v>
      </c>
      <c r="D9" s="29" t="n">
        <f aca="false">SUMPRODUCT(Demand_Plan!E$24:E$38,INDEX(BOM_Matrix!$C$26:$L$40,0,MATCH($A9,BOM_Matrix!$C$25:$L$25,0)))</f>
        <v>36708.2474226804</v>
      </c>
      <c r="E9" s="29" t="n">
        <f aca="false">SUMPRODUCT(Demand_Plan!F$24:F$38,INDEX(BOM_Matrix!$C$26:$L$40,0,MATCH($A9,BOM_Matrix!$C$25:$L$25,0)))</f>
        <v>33863.9175257732</v>
      </c>
      <c r="F9" s="29" t="n">
        <f aca="false">SUMPRODUCT(Demand_Plan!G$24:G$38,INDEX(BOM_Matrix!$C$26:$L$40,0,MATCH($A9,BOM_Matrix!$C$25:$L$25,0)))</f>
        <v>34203.0927835052</v>
      </c>
      <c r="G9" s="29" t="n">
        <f aca="false">SUMPRODUCT(Demand_Plan!H$24:H$38,INDEX(BOM_Matrix!$C$26:$L$40,0,MATCH($A9,BOM_Matrix!$C$25:$L$25,0)))</f>
        <v>49024.7422680412</v>
      </c>
      <c r="H9" s="29" t="n">
        <f aca="false">SUMPRODUCT(Demand_Plan!I$24:I$38,INDEX(BOM_Matrix!$C$26:$L$40,0,MATCH($A9,BOM_Matrix!$C$25:$L$25,0)))</f>
        <v>98089.6907216495</v>
      </c>
      <c r="I9" s="29" t="n">
        <f aca="false">SUMPRODUCT(Demand_Plan!J$24:J$38,INDEX(BOM_Matrix!$C$26:$L$40,0,MATCH($A9,BOM_Matrix!$C$25:$L$25,0)))</f>
        <v>121693.81443299</v>
      </c>
      <c r="J9" s="29" t="n">
        <f aca="false">SUMPRODUCT(Demand_Plan!K$24:K$38,INDEX(BOM_Matrix!$C$26:$L$40,0,MATCH($A9,BOM_Matrix!$C$25:$L$25,0)))</f>
        <v>111616.494845361</v>
      </c>
      <c r="K9" s="29" t="n">
        <f aca="false">SUMPRODUCT(Demand_Plan!L$24:L$38,INDEX(BOM_Matrix!$C$26:$L$40,0,MATCH($A9,BOM_Matrix!$C$25:$L$25,0)))</f>
        <v>75470.1030927835</v>
      </c>
      <c r="L9" s="29" t="n">
        <f aca="false">SUMPRODUCT(Demand_Plan!M$24:M$38,INDEX(BOM_Matrix!$C$26:$L$40,0,MATCH($A9,BOM_Matrix!$C$25:$L$25,0)))</f>
        <v>48572.1649484536</v>
      </c>
      <c r="M9" s="29" t="n">
        <f aca="false">SUMPRODUCT(Demand_Plan!N$24:N$38,INDEX(BOM_Matrix!$C$26:$L$40,0,MATCH($A9,BOM_Matrix!$C$25:$L$25,0)))</f>
        <v>36048.4536082474</v>
      </c>
      <c r="N9" s="29" t="n">
        <f aca="false">SUMPRODUCT(Demand_Plan!O$24:O$38,INDEX(BOM_Matrix!$C$26:$L$40,0,MATCH($A9,BOM_Matrix!$C$25:$L$25,0)))</f>
        <v>37486.5979381443</v>
      </c>
      <c r="O9" s="29" t="n">
        <f aca="false">SUMPRODUCT(Demand_Plan!P$24:P$38,INDEX(BOM_Matrix!$C$26:$L$40,0,MATCH($A9,BOM_Matrix!$C$25:$L$25,0)))</f>
        <v>36291.7525773196</v>
      </c>
      <c r="P9" s="79" t="n">
        <f aca="false">SUM(D9:O9)</f>
        <v>719069.072164949</v>
      </c>
      <c r="Q9" s="29" t="n">
        <f aca="false">P9/12</f>
        <v>59922.4226804124</v>
      </c>
      <c r="R9" s="29" t="n">
        <f aca="false">MAX(D9:O9)</f>
        <v>121693.81443299</v>
      </c>
      <c r="S9" s="80" t="n">
        <f aca="false">INDEX($D$4:$O$4,MATCH(R9,D9:O9,0))</f>
        <v>46478</v>
      </c>
      <c r="T9" s="29" t="n">
        <f aca="false">SUMPRODUCT(Demand_Plan!$Q$24:$Q$38,INDEX(BOM_Matrix!$C$6:$L$20,0,MATCH($A9,BOM_Matrix!$C$5:$L$5,0)))</f>
        <v>697497</v>
      </c>
      <c r="U9" s="29" t="n">
        <f aca="false">P9-T9</f>
        <v>21572.0721649486</v>
      </c>
      <c r="V9" s="32" t="n">
        <f aca="false">IF(P9=0,0,U9/P9)</f>
        <v>0.0300000000000001</v>
      </c>
    </row>
    <row r="10" customFormat="false" ht="15" hidden="false" customHeight="false" outlineLevel="0" collapsed="false">
      <c r="A10" s="6" t="s">
        <v>313</v>
      </c>
      <c r="B10" s="43" t="str">
        <f aca="false">INDEX(RawMaterials!$B$2:$B$11,MATCH($A10,RawMaterials!$A$2:$A$11,0))</f>
        <v>ABS Granules</v>
      </c>
      <c r="C10" s="10" t="s">
        <v>282</v>
      </c>
      <c r="D10" s="29" t="n">
        <f aca="false">SUMPRODUCT(Demand_Plan!E$24:E$38,INDEX(BOM_Matrix!$C$26:$L$40,0,MATCH($A10,BOM_Matrix!$C$25:$L$25,0)))</f>
        <v>65154.6391752577</v>
      </c>
      <c r="E10" s="29" t="n">
        <f aca="false">SUMPRODUCT(Demand_Plan!F$24:F$38,INDEX(BOM_Matrix!$C$26:$L$40,0,MATCH($A10,BOM_Matrix!$C$25:$L$25,0)))</f>
        <v>60634.0206185567</v>
      </c>
      <c r="F10" s="29" t="n">
        <f aca="false">SUMPRODUCT(Demand_Plan!G$24:G$38,INDEX(BOM_Matrix!$C$26:$L$40,0,MATCH($A10,BOM_Matrix!$C$25:$L$25,0)))</f>
        <v>57726.8041237113</v>
      </c>
      <c r="G10" s="29" t="n">
        <f aca="false">SUMPRODUCT(Demand_Plan!H$24:H$38,INDEX(BOM_Matrix!$C$26:$L$40,0,MATCH($A10,BOM_Matrix!$C$25:$L$25,0)))</f>
        <v>58350.5154639175</v>
      </c>
      <c r="H10" s="29" t="n">
        <f aca="false">SUMPRODUCT(Demand_Plan!I$24:I$38,INDEX(BOM_Matrix!$C$26:$L$40,0,MATCH($A10,BOM_Matrix!$C$25:$L$25,0)))</f>
        <v>61072.1649484536</v>
      </c>
      <c r="I10" s="29" t="n">
        <f aca="false">SUMPRODUCT(Demand_Plan!J$24:J$38,INDEX(BOM_Matrix!$C$26:$L$40,0,MATCH($A10,BOM_Matrix!$C$25:$L$25,0)))</f>
        <v>60417.5257731959</v>
      </c>
      <c r="J10" s="29" t="n">
        <f aca="false">SUMPRODUCT(Demand_Plan!K$24:K$38,INDEX(BOM_Matrix!$C$26:$L$40,0,MATCH($A10,BOM_Matrix!$C$25:$L$25,0)))</f>
        <v>58128.8659793814</v>
      </c>
      <c r="K10" s="29" t="n">
        <f aca="false">SUMPRODUCT(Demand_Plan!L$24:L$38,INDEX(BOM_Matrix!$C$26:$L$40,0,MATCH($A10,BOM_Matrix!$C$25:$L$25,0)))</f>
        <v>52953.6082474227</v>
      </c>
      <c r="L10" s="29" t="n">
        <f aca="false">SUMPRODUCT(Demand_Plan!M$24:M$38,INDEX(BOM_Matrix!$C$26:$L$40,0,MATCH($A10,BOM_Matrix!$C$25:$L$25,0)))</f>
        <v>48118.5567010309</v>
      </c>
      <c r="M10" s="29" t="n">
        <f aca="false">SUMPRODUCT(Demand_Plan!N$24:N$38,INDEX(BOM_Matrix!$C$26:$L$40,0,MATCH($A10,BOM_Matrix!$C$25:$L$25,0)))</f>
        <v>47654.6391752577</v>
      </c>
      <c r="N10" s="29" t="n">
        <f aca="false">SUMPRODUCT(Demand_Plan!O$24:O$38,INDEX(BOM_Matrix!$C$26:$L$40,0,MATCH($A10,BOM_Matrix!$C$25:$L$25,0)))</f>
        <v>53175.2577319588</v>
      </c>
      <c r="O10" s="29" t="n">
        <f aca="false">SUMPRODUCT(Demand_Plan!P$24:P$38,INDEX(BOM_Matrix!$C$26:$L$40,0,MATCH($A10,BOM_Matrix!$C$25:$L$25,0)))</f>
        <v>64458.7628865979</v>
      </c>
      <c r="P10" s="79" t="n">
        <f aca="false">SUM(D10:O10)</f>
        <v>687845.360824742</v>
      </c>
      <c r="Q10" s="29" t="n">
        <f aca="false">P10/12</f>
        <v>57320.4467353952</v>
      </c>
      <c r="R10" s="29" t="n">
        <f aca="false">MAX(D10:O10)</f>
        <v>65154.6391752577</v>
      </c>
      <c r="S10" s="80" t="n">
        <f aca="false">INDEX($D$4:$O$4,MATCH(R10,D10:O10,0))</f>
        <v>46327</v>
      </c>
      <c r="T10" s="29" t="n">
        <f aca="false">SUMPRODUCT(Demand_Plan!$Q$24:$Q$38,INDEX(BOM_Matrix!$C$6:$L$20,0,MATCH($A10,BOM_Matrix!$C$5:$L$5,0)))</f>
        <v>667210</v>
      </c>
      <c r="U10" s="29" t="n">
        <f aca="false">P10-T10</f>
        <v>20635.3608247422</v>
      </c>
      <c r="V10" s="32" t="n">
        <f aca="false">IF(P10=0,0,U10/P10)</f>
        <v>0.03</v>
      </c>
    </row>
    <row r="11" customFormat="false" ht="15" hidden="false" customHeight="false" outlineLevel="0" collapsed="false">
      <c r="A11" s="6" t="s">
        <v>319</v>
      </c>
      <c r="B11" s="43" t="str">
        <f aca="false">INDEX(RawMaterials!$B$2:$B$11,MATCH($A11,RawMaterials!$A$2:$A$11,0))</f>
        <v>Stainless Steel 304 Sheet</v>
      </c>
      <c r="C11" s="10" t="s">
        <v>282</v>
      </c>
      <c r="D11" s="29" t="n">
        <f aca="false">SUMPRODUCT(Demand_Plan!E$24:E$38,INDEX(BOM_Matrix!$C$26:$L$40,0,MATCH($A11,BOM_Matrix!$C$25:$L$25,0)))</f>
        <v>53246.3414634146</v>
      </c>
      <c r="E11" s="29" t="n">
        <f aca="false">SUMPRODUCT(Demand_Plan!F$24:F$38,INDEX(BOM_Matrix!$C$26:$L$40,0,MATCH($A11,BOM_Matrix!$C$25:$L$25,0)))</f>
        <v>49503.6585365854</v>
      </c>
      <c r="F11" s="29" t="n">
        <f aca="false">SUMPRODUCT(Demand_Plan!G$24:G$38,INDEX(BOM_Matrix!$C$26:$L$40,0,MATCH($A11,BOM_Matrix!$C$25:$L$25,0)))</f>
        <v>45453.6585365854</v>
      </c>
      <c r="G11" s="29" t="n">
        <f aca="false">SUMPRODUCT(Demand_Plan!H$24:H$38,INDEX(BOM_Matrix!$C$26:$L$40,0,MATCH($A11,BOM_Matrix!$C$25:$L$25,0)))</f>
        <v>43474.3902439024</v>
      </c>
      <c r="H11" s="29" t="n">
        <f aca="false">SUMPRODUCT(Demand_Plan!I$24:I$38,INDEX(BOM_Matrix!$C$26:$L$40,0,MATCH($A11,BOM_Matrix!$C$25:$L$25,0)))</f>
        <v>37459.756097561</v>
      </c>
      <c r="I11" s="29" t="n">
        <f aca="false">SUMPRODUCT(Demand_Plan!J$24:J$38,INDEX(BOM_Matrix!$C$26:$L$40,0,MATCH($A11,BOM_Matrix!$C$25:$L$25,0)))</f>
        <v>32418.2926829268</v>
      </c>
      <c r="J11" s="29" t="n">
        <f aca="false">SUMPRODUCT(Demand_Plan!K$24:K$38,INDEX(BOM_Matrix!$C$26:$L$40,0,MATCH($A11,BOM_Matrix!$C$25:$L$25,0)))</f>
        <v>31778.0487804878</v>
      </c>
      <c r="K11" s="29" t="n">
        <f aca="false">SUMPRODUCT(Demand_Plan!L$24:L$38,INDEX(BOM_Matrix!$C$26:$L$40,0,MATCH($A11,BOM_Matrix!$C$25:$L$25,0)))</f>
        <v>32202.4390243902</v>
      </c>
      <c r="L11" s="29" t="n">
        <f aca="false">SUMPRODUCT(Demand_Plan!M$24:M$38,INDEX(BOM_Matrix!$C$26:$L$40,0,MATCH($A11,BOM_Matrix!$C$25:$L$25,0)))</f>
        <v>33304.8780487805</v>
      </c>
      <c r="M11" s="29" t="n">
        <f aca="false">SUMPRODUCT(Demand_Plan!N$24:N$38,INDEX(BOM_Matrix!$C$26:$L$40,0,MATCH($A11,BOM_Matrix!$C$25:$L$25,0)))</f>
        <v>35173.1707317073</v>
      </c>
      <c r="N11" s="29" t="n">
        <f aca="false">SUMPRODUCT(Demand_Plan!O$24:O$38,INDEX(BOM_Matrix!$C$26:$L$40,0,MATCH($A11,BOM_Matrix!$C$25:$L$25,0)))</f>
        <v>38630.4878048781</v>
      </c>
      <c r="O11" s="29" t="n">
        <f aca="false">SUMPRODUCT(Demand_Plan!P$24:P$38,INDEX(BOM_Matrix!$C$26:$L$40,0,MATCH($A11,BOM_Matrix!$C$25:$L$25,0)))</f>
        <v>52076.8292682927</v>
      </c>
      <c r="P11" s="79" t="n">
        <f aca="false">SUM(D11:O11)</f>
        <v>484721.951219512</v>
      </c>
      <c r="Q11" s="29" t="n">
        <f aca="false">P11/12</f>
        <v>40393.4959349594</v>
      </c>
      <c r="R11" s="29" t="n">
        <f aca="false">MAX(D11:O11)</f>
        <v>53246.3414634146</v>
      </c>
      <c r="S11" s="80" t="n">
        <f aca="false">INDEX($D$4:$O$4,MATCH(R11,D11:O11,0))</f>
        <v>46327</v>
      </c>
      <c r="T11" s="29" t="n">
        <f aca="false">SUMPRODUCT(Demand_Plan!$Q$24:$Q$38,INDEX(BOM_Matrix!$C$6:$L$20,0,MATCH($A11,BOM_Matrix!$C$5:$L$5,0)))</f>
        <v>397472</v>
      </c>
      <c r="U11" s="29" t="n">
        <f aca="false">P11-T11</f>
        <v>87249.9512195122</v>
      </c>
      <c r="V11" s="32" t="n">
        <f aca="false">IF(P11=0,0,U11/P11)</f>
        <v>0.18</v>
      </c>
    </row>
    <row r="12" customFormat="false" ht="15" hidden="false" customHeight="false" outlineLevel="0" collapsed="false">
      <c r="A12" s="6" t="s">
        <v>326</v>
      </c>
      <c r="B12" s="43" t="str">
        <f aca="false">INDEX(RawMaterials!$B$2:$B$11,MATCH($A12,RawMaterials!$A$2:$A$11,0))</f>
        <v>Nichrome Resistance Wire (Ni80/Cr20)</v>
      </c>
      <c r="C12" s="10" t="s">
        <v>282</v>
      </c>
      <c r="D12" s="29" t="n">
        <f aca="false">SUMPRODUCT(Demand_Plan!E$24:E$38,INDEX(BOM_Matrix!$C$26:$L$40,0,MATCH($A12,BOM_Matrix!$C$25:$L$25,0)))</f>
        <v>2833.33333333333</v>
      </c>
      <c r="E12" s="29" t="n">
        <f aca="false">SUMPRODUCT(Demand_Plan!F$24:F$38,INDEX(BOM_Matrix!$C$26:$L$40,0,MATCH($A12,BOM_Matrix!$C$25:$L$25,0)))</f>
        <v>3351.04166666667</v>
      </c>
      <c r="F12" s="29" t="n">
        <f aca="false">SUMPRODUCT(Demand_Plan!G$24:G$38,INDEX(BOM_Matrix!$C$26:$L$40,0,MATCH($A12,BOM_Matrix!$C$25:$L$25,0)))</f>
        <v>3388.02083333333</v>
      </c>
      <c r="G12" s="29" t="n">
        <f aca="false">SUMPRODUCT(Demand_Plan!H$24:H$38,INDEX(BOM_Matrix!$C$26:$L$40,0,MATCH($A12,BOM_Matrix!$C$25:$L$25,0)))</f>
        <v>2396.875</v>
      </c>
      <c r="H12" s="29" t="n">
        <f aca="false">SUMPRODUCT(Demand_Plan!I$24:I$38,INDEX(BOM_Matrix!$C$26:$L$40,0,MATCH($A12,BOM_Matrix!$C$25:$L$25,0)))</f>
        <v>1417.1875</v>
      </c>
      <c r="I12" s="29" t="n">
        <f aca="false">SUMPRODUCT(Demand_Plan!J$24:J$38,INDEX(BOM_Matrix!$C$26:$L$40,0,MATCH($A12,BOM_Matrix!$C$25:$L$25,0)))</f>
        <v>995.833333333333</v>
      </c>
      <c r="J12" s="29" t="n">
        <f aca="false">SUMPRODUCT(Demand_Plan!K$24:K$38,INDEX(BOM_Matrix!$C$26:$L$40,0,MATCH($A12,BOM_Matrix!$C$25:$L$25,0)))</f>
        <v>900.520833333333</v>
      </c>
      <c r="K12" s="29" t="n">
        <f aca="false">SUMPRODUCT(Demand_Plan!L$24:L$38,INDEX(BOM_Matrix!$C$26:$L$40,0,MATCH($A12,BOM_Matrix!$C$25:$L$25,0)))</f>
        <v>949.479166666667</v>
      </c>
      <c r="L12" s="29" t="n">
        <f aca="false">SUMPRODUCT(Demand_Plan!M$24:M$38,INDEX(BOM_Matrix!$C$26:$L$40,0,MATCH($A12,BOM_Matrix!$C$25:$L$25,0)))</f>
        <v>1048.4375</v>
      </c>
      <c r="M12" s="29" t="n">
        <f aca="false">SUMPRODUCT(Demand_Plan!N$24:N$38,INDEX(BOM_Matrix!$C$26:$L$40,0,MATCH($A12,BOM_Matrix!$C$25:$L$25,0)))</f>
        <v>1126.04166666667</v>
      </c>
      <c r="N12" s="29" t="n">
        <f aca="false">SUMPRODUCT(Demand_Plan!O$24:O$38,INDEX(BOM_Matrix!$C$26:$L$40,0,MATCH($A12,BOM_Matrix!$C$25:$L$25,0)))</f>
        <v>1379.16666666667</v>
      </c>
      <c r="O12" s="29" t="n">
        <f aca="false">SUMPRODUCT(Demand_Plan!P$24:P$38,INDEX(BOM_Matrix!$C$26:$L$40,0,MATCH($A12,BOM_Matrix!$C$25:$L$25,0)))</f>
        <v>2254.16666666667</v>
      </c>
      <c r="P12" s="79" t="n">
        <f aca="false">SUM(D12:O12)</f>
        <v>22040.1041666667</v>
      </c>
      <c r="Q12" s="29" t="n">
        <f aca="false">P12/12</f>
        <v>1836.67534722222</v>
      </c>
      <c r="R12" s="29" t="n">
        <f aca="false">MAX(D12:O12)</f>
        <v>3388.02083333333</v>
      </c>
      <c r="S12" s="80" t="n">
        <f aca="false">INDEX($D$4:$O$4,MATCH(R12,D12:O12,0))</f>
        <v>46388</v>
      </c>
      <c r="T12" s="29" t="n">
        <f aca="false">SUMPRODUCT(Demand_Plan!$Q$24:$Q$38,INDEX(BOM_Matrix!$C$6:$L$20,0,MATCH($A12,BOM_Matrix!$C$5:$L$5,0)))</f>
        <v>21158.5</v>
      </c>
      <c r="U12" s="29" t="n">
        <f aca="false">P12-T12</f>
        <v>881.604166666668</v>
      </c>
      <c r="V12" s="32" t="n">
        <f aca="false">IF(P12=0,0,U12/P12)</f>
        <v>0.0400000000000001</v>
      </c>
    </row>
    <row r="13" customFormat="false" ht="15" hidden="false" customHeight="false" outlineLevel="0" collapsed="false">
      <c r="A13" s="6" t="s">
        <v>333</v>
      </c>
      <c r="B13" s="43" t="str">
        <f aca="false">INDEX(RawMaterials!$B$2:$B$11,MATCH($A13,RawMaterials!$A$2:$A$11,0))</f>
        <v>Powder Coating (Epoxy-Polyester)</v>
      </c>
      <c r="C13" s="10" t="s">
        <v>282</v>
      </c>
      <c r="D13" s="29" t="n">
        <f aca="false">SUMPRODUCT(Demand_Plan!E$24:E$38,INDEX(BOM_Matrix!$C$26:$L$40,0,MATCH($A13,BOM_Matrix!$C$25:$L$25,0)))</f>
        <v>5364.375</v>
      </c>
      <c r="E13" s="29" t="n">
        <f aca="false">SUMPRODUCT(Demand_Plan!F$24:F$38,INDEX(BOM_Matrix!$C$26:$L$40,0,MATCH($A13,BOM_Matrix!$C$25:$L$25,0)))</f>
        <v>4932.5</v>
      </c>
      <c r="F13" s="29" t="n">
        <f aca="false">SUMPRODUCT(Demand_Plan!G$24:G$38,INDEX(BOM_Matrix!$C$26:$L$40,0,MATCH($A13,BOM_Matrix!$C$25:$L$25,0)))</f>
        <v>5217.5</v>
      </c>
      <c r="G13" s="29" t="n">
        <f aca="false">SUMPRODUCT(Demand_Plan!H$24:H$38,INDEX(BOM_Matrix!$C$26:$L$40,0,MATCH($A13,BOM_Matrix!$C$25:$L$25,0)))</f>
        <v>6928.75</v>
      </c>
      <c r="H13" s="29" t="n">
        <f aca="false">SUMPRODUCT(Demand_Plan!I$24:I$38,INDEX(BOM_Matrix!$C$26:$L$40,0,MATCH($A13,BOM_Matrix!$C$25:$L$25,0)))</f>
        <v>10214.375</v>
      </c>
      <c r="I13" s="29" t="n">
        <f aca="false">SUMPRODUCT(Demand_Plan!J$24:J$38,INDEX(BOM_Matrix!$C$26:$L$40,0,MATCH($A13,BOM_Matrix!$C$25:$L$25,0)))</f>
        <v>11820</v>
      </c>
      <c r="J13" s="29" t="n">
        <f aca="false">SUMPRODUCT(Demand_Plan!K$24:K$38,INDEX(BOM_Matrix!$C$26:$L$40,0,MATCH($A13,BOM_Matrix!$C$25:$L$25,0)))</f>
        <v>11226.25</v>
      </c>
      <c r="K13" s="29" t="n">
        <f aca="false">SUMPRODUCT(Demand_Plan!L$24:L$38,INDEX(BOM_Matrix!$C$26:$L$40,0,MATCH($A13,BOM_Matrix!$C$25:$L$25,0)))</f>
        <v>9080.625</v>
      </c>
      <c r="L13" s="29" t="n">
        <f aca="false">SUMPRODUCT(Demand_Plan!M$24:M$38,INDEX(BOM_Matrix!$C$26:$L$40,0,MATCH($A13,BOM_Matrix!$C$25:$L$25,0)))</f>
        <v>6356.25</v>
      </c>
      <c r="M13" s="29" t="n">
        <f aca="false">SUMPRODUCT(Demand_Plan!N$24:N$38,INDEX(BOM_Matrix!$C$26:$L$40,0,MATCH($A13,BOM_Matrix!$C$25:$L$25,0)))</f>
        <v>5658.125</v>
      </c>
      <c r="N13" s="29" t="n">
        <f aca="false">SUMPRODUCT(Demand_Plan!O$24:O$38,INDEX(BOM_Matrix!$C$26:$L$40,0,MATCH($A13,BOM_Matrix!$C$25:$L$25,0)))</f>
        <v>6989.375</v>
      </c>
      <c r="O13" s="29" t="n">
        <f aca="false">SUMPRODUCT(Demand_Plan!P$24:P$38,INDEX(BOM_Matrix!$C$26:$L$40,0,MATCH($A13,BOM_Matrix!$C$25:$L$25,0)))</f>
        <v>7298.125</v>
      </c>
      <c r="P13" s="79" t="n">
        <f aca="false">SUM(D13:O13)</f>
        <v>91086.25</v>
      </c>
      <c r="Q13" s="29" t="n">
        <f aca="false">P13/12</f>
        <v>7590.52083333333</v>
      </c>
      <c r="R13" s="29" t="n">
        <f aca="false">MAX(D13:O13)</f>
        <v>11820</v>
      </c>
      <c r="S13" s="80" t="n">
        <f aca="false">INDEX($D$4:$O$4,MATCH(R13,D13:O13,0))</f>
        <v>46478</v>
      </c>
      <c r="T13" s="29" t="n">
        <f aca="false">SUMPRODUCT(Demand_Plan!$Q$24:$Q$38,INDEX(BOM_Matrix!$C$6:$L$20,0,MATCH($A13,BOM_Matrix!$C$5:$L$5,0)))</f>
        <v>72869</v>
      </c>
      <c r="U13" s="29" t="n">
        <f aca="false">P13-T13</f>
        <v>18217.25</v>
      </c>
      <c r="V13" s="32" t="n">
        <f aca="false">IF(P13=0,0,U13/P13)</f>
        <v>0.2</v>
      </c>
    </row>
    <row r="14" customFormat="false" ht="15" hidden="false" customHeight="false" outlineLevel="0" collapsed="false">
      <c r="A14" s="6" t="s">
        <v>340</v>
      </c>
      <c r="B14" s="43" t="str">
        <f aca="false">INDEX(RawMaterials!$B$2:$B$11,MATCH($A14,RawMaterials!$A$2:$A$11,0))</f>
        <v>Corrugated Board / Cartons</v>
      </c>
      <c r="C14" s="10" t="s">
        <v>282</v>
      </c>
      <c r="D14" s="29" t="n">
        <f aca="false">SUMPRODUCT(Demand_Plan!E$24:E$38,INDEX(BOM_Matrix!$C$26:$L$40,0,MATCH($A14,BOM_Matrix!$C$25:$L$25,0)))</f>
        <v>110371.134020619</v>
      </c>
      <c r="E14" s="29" t="n">
        <f aca="false">SUMPRODUCT(Demand_Plan!F$24:F$38,INDEX(BOM_Matrix!$C$26:$L$40,0,MATCH($A14,BOM_Matrix!$C$25:$L$25,0)))</f>
        <v>102332.474226804</v>
      </c>
      <c r="F14" s="29" t="n">
        <f aca="false">SUMPRODUCT(Demand_Plan!G$24:G$38,INDEX(BOM_Matrix!$C$26:$L$40,0,MATCH($A14,BOM_Matrix!$C$25:$L$25,0)))</f>
        <v>102064.432989691</v>
      </c>
      <c r="G14" s="29" t="n">
        <f aca="false">SUMPRODUCT(Demand_Plan!H$24:H$38,INDEX(BOM_Matrix!$C$26:$L$40,0,MATCH($A14,BOM_Matrix!$C$25:$L$25,0)))</f>
        <v>120175.257731959</v>
      </c>
      <c r="H14" s="29" t="n">
        <f aca="false">SUMPRODUCT(Demand_Plan!I$24:I$38,INDEX(BOM_Matrix!$C$26:$L$40,0,MATCH($A14,BOM_Matrix!$C$25:$L$25,0)))</f>
        <v>161811.855670103</v>
      </c>
      <c r="I14" s="29" t="n">
        <f aca="false">SUMPRODUCT(Demand_Plan!J$24:J$38,INDEX(BOM_Matrix!$C$26:$L$40,0,MATCH($A14,BOM_Matrix!$C$25:$L$25,0)))</f>
        <v>179737.113402062</v>
      </c>
      <c r="J14" s="29" t="n">
        <f aca="false">SUMPRODUCT(Demand_Plan!K$24:K$38,INDEX(BOM_Matrix!$C$26:$L$40,0,MATCH($A14,BOM_Matrix!$C$25:$L$25,0)))</f>
        <v>170012.886597938</v>
      </c>
      <c r="K14" s="29" t="n">
        <f aca="false">SUMPRODUCT(Demand_Plan!L$24:L$38,INDEX(BOM_Matrix!$C$26:$L$40,0,MATCH($A14,BOM_Matrix!$C$25:$L$25,0)))</f>
        <v>139059.278350515</v>
      </c>
      <c r="L14" s="29" t="n">
        <f aca="false">SUMPRODUCT(Demand_Plan!M$24:M$38,INDEX(BOM_Matrix!$C$26:$L$40,0,MATCH($A14,BOM_Matrix!$C$25:$L$25,0)))</f>
        <v>106750</v>
      </c>
      <c r="M14" s="29" t="n">
        <f aca="false">SUMPRODUCT(Demand_Plan!N$24:N$38,INDEX(BOM_Matrix!$C$26:$L$40,0,MATCH($A14,BOM_Matrix!$C$25:$L$25,0)))</f>
        <v>97639.175257732</v>
      </c>
      <c r="N14" s="29" t="n">
        <f aca="false">SUMPRODUCT(Demand_Plan!O$24:O$38,INDEX(BOM_Matrix!$C$26:$L$40,0,MATCH($A14,BOM_Matrix!$C$25:$L$25,0)))</f>
        <v>113090.206185567</v>
      </c>
      <c r="O14" s="29" t="n">
        <f aca="false">SUMPRODUCT(Demand_Plan!P$24:P$38,INDEX(BOM_Matrix!$C$26:$L$40,0,MATCH($A14,BOM_Matrix!$C$25:$L$25,0)))</f>
        <v>126427.835051546</v>
      </c>
      <c r="P14" s="79" t="n">
        <f aca="false">SUM(D14:O14)</f>
        <v>1529471.64948454</v>
      </c>
      <c r="Q14" s="29" t="n">
        <f aca="false">P14/12</f>
        <v>127455.970790378</v>
      </c>
      <c r="R14" s="29" t="n">
        <f aca="false">MAX(D14:O14)</f>
        <v>179737.113402062</v>
      </c>
      <c r="S14" s="80" t="n">
        <f aca="false">INDEX($D$4:$O$4,MATCH(R14,D14:O14,0))</f>
        <v>46478</v>
      </c>
      <c r="T14" s="29" t="n">
        <f aca="false">SUMPRODUCT(Demand_Plan!$Q$24:$Q$38,INDEX(BOM_Matrix!$C$6:$L$20,0,MATCH($A14,BOM_Matrix!$C$5:$L$5,0)))</f>
        <v>1483587.5</v>
      </c>
      <c r="U14" s="29" t="n">
        <f aca="false">P14-T14</f>
        <v>45884.1494845361</v>
      </c>
      <c r="V14" s="32" t="n">
        <f aca="false">IF(P14=0,0,U14/P14)</f>
        <v>0.03</v>
      </c>
    </row>
    <row r="15" customFormat="false" ht="15" hidden="false" customHeight="false" outlineLevel="0" collapsed="false">
      <c r="A15" s="46" t="s">
        <v>692</v>
      </c>
      <c r="B15" s="82" t="s">
        <v>703</v>
      </c>
      <c r="C15" s="47"/>
      <c r="D15" s="49" t="n">
        <f aca="false">SUM(D5:D14)</f>
        <v>603813.118825973</v>
      </c>
      <c r="E15" s="49" t="n">
        <f aca="false">SUM(E5:E14)</f>
        <v>546239.281763801</v>
      </c>
      <c r="F15" s="49" t="n">
        <f aca="false">SUM(F5:F14)</f>
        <v>544358.469337811</v>
      </c>
      <c r="G15" s="49" t="n">
        <f aca="false">SUM(G5:G14)</f>
        <v>667137.329209829</v>
      </c>
      <c r="H15" s="49" t="n">
        <f aca="false">SUM(H5:H14)</f>
        <v>917046.275435966</v>
      </c>
      <c r="I15" s="49" t="n">
        <f aca="false">SUM(I5:I14)</f>
        <v>1026755.01490297</v>
      </c>
      <c r="J15" s="49" t="n">
        <f aca="false">SUM(J5:J14)</f>
        <v>974926.265924753</v>
      </c>
      <c r="K15" s="49" t="n">
        <f aca="false">SUM(K5:K14)</f>
        <v>798247.50140832</v>
      </c>
      <c r="L15" s="49" t="n">
        <f aca="false">SUM(L5:L14)</f>
        <v>603671.893492957</v>
      </c>
      <c r="M15" s="49" t="n">
        <f aca="false">SUM(M5:M14)</f>
        <v>551621.355139491</v>
      </c>
      <c r="N15" s="49" t="n">
        <f aca="false">SUM(N5:N14)</f>
        <v>641582.153491211</v>
      </c>
      <c r="O15" s="49" t="n">
        <f aca="false">SUM(O5:O14)</f>
        <v>709176.402762078</v>
      </c>
      <c r="P15" s="49" t="n">
        <f aca="false">SUM(P5:P14)</f>
        <v>8584575.06169516</v>
      </c>
      <c r="Q15" s="49" t="n">
        <f aca="false">SUM(Q5:Q14)</f>
        <v>715381.255141263</v>
      </c>
      <c r="R15" s="47"/>
      <c r="S15" s="47"/>
      <c r="T15" s="49" t="n">
        <f aca="false">SUM(T5:T14)</f>
        <v>7556516</v>
      </c>
      <c r="U15" s="49" t="n">
        <f aca="false">SUM(U5:U14)</f>
        <v>1028059.06169516</v>
      </c>
      <c r="V15" s="48" t="n">
        <f aca="false">IF(P15=0,0,U15/P15)</f>
        <v>0.119756546399415</v>
      </c>
    </row>
    <row r="17" customFormat="false" ht="19.5" hidden="false" customHeight="true" outlineLevel="0" collapsed="false">
      <c r="A17" s="3" t="s">
        <v>704</v>
      </c>
      <c r="B17" s="4"/>
      <c r="C17" s="4"/>
      <c r="D17" s="4"/>
      <c r="E17" s="4"/>
      <c r="F17" s="4"/>
      <c r="G17" s="4"/>
      <c r="H17" s="4"/>
      <c r="I17" s="4"/>
      <c r="J17" s="4"/>
      <c r="K17" s="4"/>
      <c r="L17" s="4"/>
      <c r="M17" s="4"/>
      <c r="N17" s="4"/>
      <c r="O17" s="4"/>
      <c r="P17" s="4"/>
    </row>
    <row r="18" customFormat="false" ht="30" hidden="false" customHeight="true" outlineLevel="0" collapsed="false">
      <c r="A18" s="8" t="s">
        <v>258</v>
      </c>
      <c r="B18" s="8" t="s">
        <v>259</v>
      </c>
      <c r="C18" s="8" t="s">
        <v>470</v>
      </c>
      <c r="D18" s="25" t="n">
        <f aca="false">D$4</f>
        <v>46327</v>
      </c>
      <c r="E18" s="25" t="n">
        <f aca="false">E$4</f>
        <v>46357</v>
      </c>
      <c r="F18" s="25" t="n">
        <f aca="false">F$4</f>
        <v>46388</v>
      </c>
      <c r="G18" s="25" t="n">
        <f aca="false">G$4</f>
        <v>46419</v>
      </c>
      <c r="H18" s="25" t="n">
        <f aca="false">H$4</f>
        <v>46447</v>
      </c>
      <c r="I18" s="25" t="n">
        <f aca="false">I$4</f>
        <v>46478</v>
      </c>
      <c r="J18" s="25" t="n">
        <f aca="false">J$4</f>
        <v>46508</v>
      </c>
      <c r="K18" s="25" t="n">
        <f aca="false">K$4</f>
        <v>46539</v>
      </c>
      <c r="L18" s="25" t="n">
        <f aca="false">L$4</f>
        <v>46569</v>
      </c>
      <c r="M18" s="25" t="n">
        <f aca="false">M$4</f>
        <v>46600</v>
      </c>
      <c r="N18" s="25" t="n">
        <f aca="false">N$4</f>
        <v>46631</v>
      </c>
      <c r="O18" s="25" t="n">
        <f aca="false">O$4</f>
        <v>46661</v>
      </c>
      <c r="P18" s="8" t="s">
        <v>691</v>
      </c>
    </row>
    <row r="19" customFormat="false" ht="15" hidden="false" customHeight="false" outlineLevel="0" collapsed="false">
      <c r="A19" s="6" t="str">
        <f aca="false">A5</f>
        <v>RW01</v>
      </c>
      <c r="B19" s="7" t="str">
        <f aca="false">B5</f>
        <v>CRNGO Electrical Steel Coil</v>
      </c>
      <c r="C19" s="44" t="n">
        <f aca="false">INDEX(RawMaterials!$G$2:$G$11,MATCH($A19,RawMaterials!$A$2:$A$11,0))</f>
        <v>93.4</v>
      </c>
      <c r="D19" s="33" t="n">
        <f aca="false">D5*$C19/Assumptions!$B$20</f>
        <v>82.2440371428571</v>
      </c>
      <c r="E19" s="33" t="n">
        <f aca="false">E5*$C19/Assumptions!$B$20</f>
        <v>70.2007742857143</v>
      </c>
      <c r="F19" s="33" t="n">
        <f aca="false">F5*$C19/Assumptions!$B$20</f>
        <v>70.5923871428571</v>
      </c>
      <c r="G19" s="33" t="n">
        <f aca="false">G5*$C19/Assumptions!$B$20</f>
        <v>95.7056457142857</v>
      </c>
      <c r="H19" s="33" t="n">
        <f aca="false">H5*$C19/Assumptions!$B$20</f>
        <v>136.48542</v>
      </c>
      <c r="I19" s="33" t="n">
        <f aca="false">I5*$C19/Assumptions!$B$20</f>
        <v>154.640378571429</v>
      </c>
      <c r="J19" s="33" t="n">
        <f aca="false">J5*$C19/Assumptions!$B$20</f>
        <v>148.148411428571</v>
      </c>
      <c r="K19" s="33" t="n">
        <f aca="false">K5*$C19/Assumptions!$B$20</f>
        <v>122.95176</v>
      </c>
      <c r="L19" s="33" t="n">
        <f aca="false">L5*$C19/Assumptions!$B$20</f>
        <v>90.8635228571429</v>
      </c>
      <c r="M19" s="33" t="n">
        <f aca="false">M5*$C19/Assumptions!$B$20</f>
        <v>82.8584757142857</v>
      </c>
      <c r="N19" s="33" t="n">
        <f aca="false">N5*$C19/Assumptions!$B$20</f>
        <v>96.4968771428571</v>
      </c>
      <c r="O19" s="33" t="n">
        <f aca="false">O5*$C19/Assumptions!$B$20</f>
        <v>103.966208571429</v>
      </c>
      <c r="P19" s="70" t="n">
        <f aca="false">SUM(D19:O19)</f>
        <v>1255.15389857143</v>
      </c>
    </row>
    <row r="20" customFormat="false" ht="15" hidden="false" customHeight="false" outlineLevel="0" collapsed="false">
      <c r="A20" s="6" t="str">
        <f aca="false">A6</f>
        <v>RW02</v>
      </c>
      <c r="B20" s="7" t="str">
        <f aca="false">B6</f>
        <v>CRCA Steel Sheet / Coil</v>
      </c>
      <c r="C20" s="44" t="n">
        <f aca="false">INDEX(RawMaterials!$G$2:$G$11,MATCH($A20,RawMaterials!$A$2:$A$11,0))</f>
        <v>66.65</v>
      </c>
      <c r="D20" s="33" t="n">
        <f aca="false">D6*$C20/Assumptions!$B$20</f>
        <v>95.6956779411765</v>
      </c>
      <c r="E20" s="33" t="n">
        <f aca="false">E6*$C20/Assumptions!$B$20</f>
        <v>87.3036588235294</v>
      </c>
      <c r="F20" s="33" t="n">
        <f aca="false">F6*$C20/Assumptions!$B$20</f>
        <v>90.810625</v>
      </c>
      <c r="G20" s="33" t="n">
        <f aca="false">G6*$C20/Assumptions!$B$20</f>
        <v>118.807545588235</v>
      </c>
      <c r="H20" s="33" t="n">
        <f aca="false">H6*$C20/Assumptions!$B$20</f>
        <v>173.082208823529</v>
      </c>
      <c r="I20" s="33" t="n">
        <f aca="false">I6*$C20/Assumptions!$B$20</f>
        <v>199.103152941177</v>
      </c>
      <c r="J20" s="33" t="n">
        <f aca="false">J6*$C20/Assumptions!$B$20</f>
        <v>189.001757352941</v>
      </c>
      <c r="K20" s="33" t="n">
        <f aca="false">K6*$C20/Assumptions!$B$20</f>
        <v>153.004876470588</v>
      </c>
      <c r="L20" s="33" t="n">
        <f aca="false">L6*$C20/Assumptions!$B$20</f>
        <v>108.570889705882</v>
      </c>
      <c r="M20" s="33" t="n">
        <f aca="false">M6*$C20/Assumptions!$B$20</f>
        <v>97.5795205882353</v>
      </c>
      <c r="N20" s="33" t="n">
        <f aca="false">N6*$C20/Assumptions!$B$20</f>
        <v>120.156227941177</v>
      </c>
      <c r="O20" s="33" t="n">
        <f aca="false">O6*$C20/Assumptions!$B$20</f>
        <v>127.164279411765</v>
      </c>
      <c r="P20" s="70" t="n">
        <f aca="false">SUM(D20:O20)</f>
        <v>1560.28042058824</v>
      </c>
    </row>
    <row r="21" customFormat="false" ht="15" hidden="false" customHeight="false" outlineLevel="0" collapsed="false">
      <c r="A21" s="6" t="str">
        <f aca="false">A7</f>
        <v>RW03</v>
      </c>
      <c r="B21" s="7" t="str">
        <f aca="false">B7</f>
        <v>Aluminium Alloy Ingot (ADC12)</v>
      </c>
      <c r="C21" s="44" t="n">
        <f aca="false">INDEX(RawMaterials!$G$2:$G$11,MATCH($A21,RawMaterials!$A$2:$A$11,0))</f>
        <v>261.5</v>
      </c>
      <c r="D21" s="33" t="n">
        <f aca="false">D7*$C21/Assumptions!$B$20</f>
        <v>171.104850543478</v>
      </c>
      <c r="E21" s="33" t="n">
        <f aca="false">E7*$C21/Assumptions!$B$20</f>
        <v>149.907717391304</v>
      </c>
      <c r="F21" s="33" t="n">
        <f aca="false">F7*$C21/Assumptions!$B$20</f>
        <v>147.235869565217</v>
      </c>
      <c r="G21" s="33" t="n">
        <f aca="false">G7*$C21/Assumptions!$B$20</f>
        <v>177.955013586957</v>
      </c>
      <c r="H21" s="33" t="n">
        <f aca="false">H7*$C21/Assumptions!$B$20</f>
        <v>227.9953125</v>
      </c>
      <c r="I21" s="33" t="n">
        <f aca="false">I7*$C21/Assumptions!$B$20</f>
        <v>246.797730978261</v>
      </c>
      <c r="J21" s="33" t="n">
        <f aca="false">J7*$C21/Assumptions!$B$20</f>
        <v>237.162024456522</v>
      </c>
      <c r="K21" s="33" t="n">
        <f aca="false">K7*$C21/Assumptions!$B$20</f>
        <v>206.158641304348</v>
      </c>
      <c r="L21" s="33" t="n">
        <f aca="false">L7*$C21/Assumptions!$B$20</f>
        <v>165.48402173913</v>
      </c>
      <c r="M21" s="33" t="n">
        <f aca="false">M7*$C21/Assumptions!$B$20</f>
        <v>157.3903125</v>
      </c>
      <c r="N21" s="33" t="n">
        <f aca="false">N7*$C21/Assumptions!$B$20</f>
        <v>179.354891304348</v>
      </c>
      <c r="O21" s="33" t="n">
        <f aca="false">O7*$C21/Assumptions!$B$20</f>
        <v>199.948016304348</v>
      </c>
      <c r="P21" s="70" t="n">
        <f aca="false">SUM(D21:O21)</f>
        <v>2266.49440217391</v>
      </c>
    </row>
    <row r="22" customFormat="false" ht="15" hidden="false" customHeight="false" outlineLevel="0" collapsed="false">
      <c r="A22" s="6" t="str">
        <f aca="false">A8</f>
        <v>RW04</v>
      </c>
      <c r="B22" s="7" t="str">
        <f aca="false">B8</f>
        <v>Enamelled Copper Winding Wire</v>
      </c>
      <c r="C22" s="44" t="n">
        <f aca="false">INDEX(RawMaterials!$G$2:$G$11,MATCH($A22,RawMaterials!$A$2:$A$11,0))</f>
        <v>1336.25</v>
      </c>
      <c r="D22" s="33" t="n">
        <f aca="false">D8*$C22/Assumptions!$B$20</f>
        <v>441.869241071429</v>
      </c>
      <c r="E22" s="33" t="n">
        <f aca="false">E8*$C22/Assumptions!$B$20</f>
        <v>376.099834183673</v>
      </c>
      <c r="F22" s="33" t="n">
        <f aca="false">F8*$C22/Assumptions!$B$20</f>
        <v>376.420261479592</v>
      </c>
      <c r="G22" s="33" t="n">
        <f aca="false">G8*$C22/Assumptions!$B$20</f>
        <v>507.918169642857</v>
      </c>
      <c r="H22" s="33" t="n">
        <f aca="false">H8*$C22/Assumptions!$B$20</f>
        <v>721.247755102041</v>
      </c>
      <c r="I22" s="33" t="n">
        <f aca="false">I8*$C22/Assumptions!$B$20</f>
        <v>815.078411989796</v>
      </c>
      <c r="J22" s="33" t="n">
        <f aca="false">J8*$C22/Assumptions!$B$20</f>
        <v>780.097295918367</v>
      </c>
      <c r="K22" s="33" t="n">
        <f aca="false">K8*$C22/Assumptions!$B$20</f>
        <v>647.951715561225</v>
      </c>
      <c r="L22" s="33" t="n">
        <f aca="false">L8*$C22/Assumptions!$B$20</f>
        <v>481.820389030612</v>
      </c>
      <c r="M22" s="33" t="n">
        <f aca="false">M8*$C22/Assumptions!$B$20</f>
        <v>441.160210459184</v>
      </c>
      <c r="N22" s="33" t="n">
        <f aca="false">N8*$C22/Assumptions!$B$20</f>
        <v>516.446989795918</v>
      </c>
      <c r="O22" s="33" t="n">
        <f aca="false">O8*$C22/Assumptions!$B$20</f>
        <v>558.5525</v>
      </c>
      <c r="P22" s="70" t="n">
        <f aca="false">SUM(D22:O22)</f>
        <v>6664.66277423469</v>
      </c>
    </row>
    <row r="23" customFormat="false" ht="15" hidden="false" customHeight="false" outlineLevel="0" collapsed="false">
      <c r="A23" s="6" t="str">
        <f aca="false">A9</f>
        <v>RW05</v>
      </c>
      <c r="B23" s="7" t="str">
        <f aca="false">B9</f>
        <v>Polypropylene (PP) Granules</v>
      </c>
      <c r="C23" s="44" t="n">
        <f aca="false">INDEX(RawMaterials!$G$2:$G$11,MATCH($A23,RawMaterials!$A$2:$A$11,0))</f>
        <v>107</v>
      </c>
      <c r="D23" s="33" t="n">
        <f aca="false">D9*$C23/Assumptions!$B$20</f>
        <v>39.277824742268</v>
      </c>
      <c r="E23" s="33" t="n">
        <f aca="false">E9*$C23/Assumptions!$B$20</f>
        <v>36.2343917525773</v>
      </c>
      <c r="F23" s="33" t="n">
        <f aca="false">F9*$C23/Assumptions!$B$20</f>
        <v>36.5973092783505</v>
      </c>
      <c r="G23" s="33" t="n">
        <f aca="false">G9*$C23/Assumptions!$B$20</f>
        <v>52.4564742268041</v>
      </c>
      <c r="H23" s="33" t="n">
        <f aca="false">H9*$C23/Assumptions!$B$20</f>
        <v>104.955969072165</v>
      </c>
      <c r="I23" s="33" t="n">
        <f aca="false">I9*$C23/Assumptions!$B$20</f>
        <v>130.212381443299</v>
      </c>
      <c r="J23" s="33" t="n">
        <f aca="false">J9*$C23/Assumptions!$B$20</f>
        <v>119.429649484536</v>
      </c>
      <c r="K23" s="33" t="n">
        <f aca="false">K9*$C23/Assumptions!$B$20</f>
        <v>80.7530103092784</v>
      </c>
      <c r="L23" s="33" t="n">
        <f aca="false">L9*$C23/Assumptions!$B$20</f>
        <v>51.9722164948454</v>
      </c>
      <c r="M23" s="33" t="n">
        <f aca="false">M9*$C23/Assumptions!$B$20</f>
        <v>38.5718453608247</v>
      </c>
      <c r="N23" s="33" t="n">
        <f aca="false">N9*$C23/Assumptions!$B$20</f>
        <v>40.1106597938144</v>
      </c>
      <c r="O23" s="33" t="n">
        <f aca="false">O9*$C23/Assumptions!$B$20</f>
        <v>38.832175257732</v>
      </c>
      <c r="P23" s="70" t="n">
        <f aca="false">SUM(D23:O23)</f>
        <v>769.403907216495</v>
      </c>
    </row>
    <row r="24" customFormat="false" ht="15" hidden="false" customHeight="false" outlineLevel="0" collapsed="false">
      <c r="A24" s="6" t="str">
        <f aca="false">A10</f>
        <v>RW06</v>
      </c>
      <c r="B24" s="7" t="str">
        <f aca="false">B10</f>
        <v>ABS Granules</v>
      </c>
      <c r="C24" s="44" t="n">
        <f aca="false">INDEX(RawMaterials!$G$2:$G$11,MATCH($A24,RawMaterials!$A$2:$A$11,0))</f>
        <v>156</v>
      </c>
      <c r="D24" s="33" t="n">
        <f aca="false">D10*$C24/Assumptions!$B$20</f>
        <v>101.641237113402</v>
      </c>
      <c r="E24" s="33" t="n">
        <f aca="false">E10*$C24/Assumptions!$B$20</f>
        <v>94.5890721649485</v>
      </c>
      <c r="F24" s="33" t="n">
        <f aca="false">F10*$C24/Assumptions!$B$20</f>
        <v>90.0538144329897</v>
      </c>
      <c r="G24" s="33" t="n">
        <f aca="false">G10*$C24/Assumptions!$B$20</f>
        <v>91.0268041237113</v>
      </c>
      <c r="H24" s="33" t="n">
        <f aca="false">H10*$C24/Assumptions!$B$20</f>
        <v>95.2725773195876</v>
      </c>
      <c r="I24" s="33" t="n">
        <f aca="false">I10*$C24/Assumptions!$B$20</f>
        <v>94.2513402061856</v>
      </c>
      <c r="J24" s="33" t="n">
        <f aca="false">J10*$C24/Assumptions!$B$20</f>
        <v>90.6810309278351</v>
      </c>
      <c r="K24" s="33" t="n">
        <f aca="false">K10*$C24/Assumptions!$B$20</f>
        <v>82.6076288659794</v>
      </c>
      <c r="L24" s="33" t="n">
        <f aca="false">L10*$C24/Assumptions!$B$20</f>
        <v>75.0649484536083</v>
      </c>
      <c r="M24" s="33" t="n">
        <f aca="false">M10*$C24/Assumptions!$B$20</f>
        <v>74.3412371134021</v>
      </c>
      <c r="N24" s="33" t="n">
        <f aca="false">N10*$C24/Assumptions!$B$20</f>
        <v>82.9534020618557</v>
      </c>
      <c r="O24" s="33" t="n">
        <f aca="false">O10*$C24/Assumptions!$B$20</f>
        <v>100.555670103093</v>
      </c>
      <c r="P24" s="70" t="n">
        <f aca="false">SUM(D24:O24)</f>
        <v>1073.0387628866</v>
      </c>
    </row>
    <row r="25" customFormat="false" ht="15" hidden="false" customHeight="false" outlineLevel="0" collapsed="false">
      <c r="A25" s="6" t="str">
        <f aca="false">A11</f>
        <v>RW07</v>
      </c>
      <c r="B25" s="7" t="str">
        <f aca="false">B11</f>
        <v>Stainless Steel 304 Sheet</v>
      </c>
      <c r="C25" s="44" t="n">
        <f aca="false">INDEX(RawMaterials!$G$2:$G$11,MATCH($A25,RawMaterials!$A$2:$A$11,0))</f>
        <v>206.5</v>
      </c>
      <c r="D25" s="33" t="n">
        <f aca="false">D11*$C25/Assumptions!$B$20</f>
        <v>109.953695121951</v>
      </c>
      <c r="E25" s="33" t="n">
        <f aca="false">E11*$C25/Assumptions!$B$20</f>
        <v>102.225054878049</v>
      </c>
      <c r="F25" s="33" t="n">
        <f aca="false">F11*$C25/Assumptions!$B$20</f>
        <v>93.8618048780488</v>
      </c>
      <c r="G25" s="33" t="n">
        <f aca="false">G11*$C25/Assumptions!$B$20</f>
        <v>89.7746158536586</v>
      </c>
      <c r="H25" s="33" t="n">
        <f aca="false">H11*$C25/Assumptions!$B$20</f>
        <v>77.3543963414634</v>
      </c>
      <c r="I25" s="33" t="n">
        <f aca="false">I11*$C25/Assumptions!$B$20</f>
        <v>66.9437743902439</v>
      </c>
      <c r="J25" s="33" t="n">
        <f aca="false">J11*$C25/Assumptions!$B$20</f>
        <v>65.6216707317073</v>
      </c>
      <c r="K25" s="33" t="n">
        <f aca="false">K11*$C25/Assumptions!$B$20</f>
        <v>66.4980365853659</v>
      </c>
      <c r="L25" s="33" t="n">
        <f aca="false">L11*$C25/Assumptions!$B$20</f>
        <v>68.7745731707317</v>
      </c>
      <c r="M25" s="33" t="n">
        <f aca="false">M11*$C25/Assumptions!$B$20</f>
        <v>72.6325975609756</v>
      </c>
      <c r="N25" s="33" t="n">
        <f aca="false">N11*$C25/Assumptions!$B$20</f>
        <v>79.7719573170732</v>
      </c>
      <c r="O25" s="33" t="n">
        <f aca="false">O11*$C25/Assumptions!$B$20</f>
        <v>107.538652439024</v>
      </c>
      <c r="P25" s="70" t="n">
        <f aca="false">SUM(D25:O25)</f>
        <v>1000.95082926829</v>
      </c>
    </row>
    <row r="26" customFormat="false" ht="15" hidden="false" customHeight="false" outlineLevel="0" collapsed="false">
      <c r="A26" s="6" t="str">
        <f aca="false">A12</f>
        <v>RW08</v>
      </c>
      <c r="B26" s="7" t="str">
        <f aca="false">B12</f>
        <v>Nichrome Resistance Wire (Ni80/Cr20)</v>
      </c>
      <c r="C26" s="44" t="n">
        <f aca="false">INDEX(RawMaterials!$G$2:$G$11,MATCH($A26,RawMaterials!$A$2:$A$11,0))</f>
        <v>2080</v>
      </c>
      <c r="D26" s="33" t="n">
        <f aca="false">D12*$C26/Assumptions!$B$20</f>
        <v>58.9333333333333</v>
      </c>
      <c r="E26" s="33" t="n">
        <f aca="false">E12*$C26/Assumptions!$B$20</f>
        <v>69.7016666666667</v>
      </c>
      <c r="F26" s="33" t="n">
        <f aca="false">F12*$C26/Assumptions!$B$20</f>
        <v>70.4708333333334</v>
      </c>
      <c r="G26" s="33" t="n">
        <f aca="false">G12*$C26/Assumptions!$B$20</f>
        <v>49.855</v>
      </c>
      <c r="H26" s="33" t="n">
        <f aca="false">H12*$C26/Assumptions!$B$20</f>
        <v>29.4775</v>
      </c>
      <c r="I26" s="33" t="n">
        <f aca="false">I12*$C26/Assumptions!$B$20</f>
        <v>20.7133333333333</v>
      </c>
      <c r="J26" s="33" t="n">
        <f aca="false">J12*$C26/Assumptions!$B$20</f>
        <v>18.7308333333333</v>
      </c>
      <c r="K26" s="33" t="n">
        <f aca="false">K12*$C26/Assumptions!$B$20</f>
        <v>19.7491666666667</v>
      </c>
      <c r="L26" s="33" t="n">
        <f aca="false">L12*$C26/Assumptions!$B$20</f>
        <v>21.8075</v>
      </c>
      <c r="M26" s="33" t="n">
        <f aca="false">M12*$C26/Assumptions!$B$20</f>
        <v>23.4216666666667</v>
      </c>
      <c r="N26" s="33" t="n">
        <f aca="false">N12*$C26/Assumptions!$B$20</f>
        <v>28.6866666666667</v>
      </c>
      <c r="O26" s="33" t="n">
        <f aca="false">O12*$C26/Assumptions!$B$20</f>
        <v>46.8866666666667</v>
      </c>
      <c r="P26" s="70" t="n">
        <f aca="false">SUM(D26:O26)</f>
        <v>458.434166666667</v>
      </c>
    </row>
    <row r="27" customFormat="false" ht="15" hidden="false" customHeight="false" outlineLevel="0" collapsed="false">
      <c r="A27" s="6" t="str">
        <f aca="false">A13</f>
        <v>RW09</v>
      </c>
      <c r="B27" s="7" t="str">
        <f aca="false">B13</f>
        <v>Powder Coating (Epoxy-Polyester)</v>
      </c>
      <c r="C27" s="44" t="n">
        <f aca="false">INDEX(RawMaterials!$G$2:$G$11,MATCH($A27,RawMaterials!$A$2:$A$11,0))</f>
        <v>345</v>
      </c>
      <c r="D27" s="33" t="n">
        <f aca="false">D13*$C27/Assumptions!$B$20</f>
        <v>18.50709375</v>
      </c>
      <c r="E27" s="33" t="n">
        <f aca="false">E13*$C27/Assumptions!$B$20</f>
        <v>17.017125</v>
      </c>
      <c r="F27" s="33" t="n">
        <f aca="false">F13*$C27/Assumptions!$B$20</f>
        <v>18.000375</v>
      </c>
      <c r="G27" s="33" t="n">
        <f aca="false">G13*$C27/Assumptions!$B$20</f>
        <v>23.9041875</v>
      </c>
      <c r="H27" s="33" t="n">
        <f aca="false">H13*$C27/Assumptions!$B$20</f>
        <v>35.23959375</v>
      </c>
      <c r="I27" s="33" t="n">
        <f aca="false">I13*$C27/Assumptions!$B$20</f>
        <v>40.779</v>
      </c>
      <c r="J27" s="33" t="n">
        <f aca="false">J13*$C27/Assumptions!$B$20</f>
        <v>38.7305625</v>
      </c>
      <c r="K27" s="33" t="n">
        <f aca="false">K13*$C27/Assumptions!$B$20</f>
        <v>31.32815625</v>
      </c>
      <c r="L27" s="33" t="n">
        <f aca="false">L13*$C27/Assumptions!$B$20</f>
        <v>21.9290625</v>
      </c>
      <c r="M27" s="33" t="n">
        <f aca="false">M13*$C27/Assumptions!$B$20</f>
        <v>19.52053125</v>
      </c>
      <c r="N27" s="33" t="n">
        <f aca="false">N13*$C27/Assumptions!$B$20</f>
        <v>24.11334375</v>
      </c>
      <c r="O27" s="33" t="n">
        <f aca="false">O13*$C27/Assumptions!$B$20</f>
        <v>25.17853125</v>
      </c>
      <c r="P27" s="70" t="n">
        <f aca="false">SUM(D27:O27)</f>
        <v>314.2475625</v>
      </c>
    </row>
    <row r="28" customFormat="false" ht="15" hidden="false" customHeight="false" outlineLevel="0" collapsed="false">
      <c r="A28" s="6" t="str">
        <f aca="false">A14</f>
        <v>RW10</v>
      </c>
      <c r="B28" s="7" t="str">
        <f aca="false">B14</f>
        <v>Corrugated Board / Cartons</v>
      </c>
      <c r="C28" s="44" t="n">
        <f aca="false">INDEX(RawMaterials!$G$2:$G$11,MATCH($A28,RawMaterials!$A$2:$A$11,0))</f>
        <v>52</v>
      </c>
      <c r="D28" s="33" t="n">
        <f aca="false">D14*$C28/Assumptions!$B$20</f>
        <v>57.3929896907217</v>
      </c>
      <c r="E28" s="33" t="n">
        <f aca="false">E14*$C28/Assumptions!$B$20</f>
        <v>53.2128865979381</v>
      </c>
      <c r="F28" s="33" t="n">
        <f aca="false">F14*$C28/Assumptions!$B$20</f>
        <v>53.0735051546392</v>
      </c>
      <c r="G28" s="33" t="n">
        <f aca="false">G14*$C28/Assumptions!$B$20</f>
        <v>62.4911340206186</v>
      </c>
      <c r="H28" s="33" t="n">
        <f aca="false">H14*$C28/Assumptions!$B$20</f>
        <v>84.1421649484536</v>
      </c>
      <c r="I28" s="33" t="n">
        <f aca="false">I14*$C28/Assumptions!$B$20</f>
        <v>93.4632989690722</v>
      </c>
      <c r="J28" s="33" t="n">
        <f aca="false">J14*$C28/Assumptions!$B$20</f>
        <v>88.4067010309278</v>
      </c>
      <c r="K28" s="33" t="n">
        <f aca="false">K14*$C28/Assumptions!$B$20</f>
        <v>72.310824742268</v>
      </c>
      <c r="L28" s="33" t="n">
        <f aca="false">L14*$C28/Assumptions!$B$20</f>
        <v>55.51</v>
      </c>
      <c r="M28" s="33" t="n">
        <f aca="false">M14*$C28/Assumptions!$B$20</f>
        <v>50.7723711340206</v>
      </c>
      <c r="N28" s="33" t="n">
        <f aca="false">N14*$C28/Assumptions!$B$20</f>
        <v>58.8069072164949</v>
      </c>
      <c r="O28" s="33" t="n">
        <f aca="false">O14*$C28/Assumptions!$B$20</f>
        <v>65.7424742268041</v>
      </c>
      <c r="P28" s="70" t="n">
        <f aca="false">SUM(D28:O28)</f>
        <v>795.325257731959</v>
      </c>
    </row>
    <row r="29" customFormat="false" ht="15" hidden="false" customHeight="false" outlineLevel="0" collapsed="false">
      <c r="A29" s="46" t="s">
        <v>692</v>
      </c>
      <c r="B29" s="47"/>
      <c r="C29" s="47"/>
      <c r="D29" s="50" t="n">
        <f aca="false">SUM(D19:D28)</f>
        <v>1176.61998045062</v>
      </c>
      <c r="E29" s="50" t="n">
        <f aca="false">SUM(E19:E28)</f>
        <v>1056.4921817444</v>
      </c>
      <c r="F29" s="50" t="n">
        <f aca="false">SUM(F19:F28)</f>
        <v>1047.11678526503</v>
      </c>
      <c r="G29" s="50" t="n">
        <f aca="false">SUM(G19:G28)</f>
        <v>1269.89459025713</v>
      </c>
      <c r="H29" s="50" t="n">
        <f aca="false">SUM(H19:H28)</f>
        <v>1685.25289785724</v>
      </c>
      <c r="I29" s="50" t="n">
        <f aca="false">SUM(I19:I28)</f>
        <v>1861.9828028228</v>
      </c>
      <c r="J29" s="50" t="n">
        <f aca="false">SUM(J19:J28)</f>
        <v>1776.00993716474</v>
      </c>
      <c r="K29" s="50" t="n">
        <f aca="false">SUM(K19:K28)</f>
        <v>1483.31381675572</v>
      </c>
      <c r="L29" s="50" t="n">
        <f aca="false">SUM(L19:L28)</f>
        <v>1141.79712395195</v>
      </c>
      <c r="M29" s="50" t="n">
        <f aca="false">SUM(M19:M28)</f>
        <v>1058.24876834759</v>
      </c>
      <c r="N29" s="50" t="n">
        <f aca="false">SUM(N19:N28)</f>
        <v>1226.8979229902</v>
      </c>
      <c r="O29" s="50" t="n">
        <f aca="false">SUM(O19:O28)</f>
        <v>1374.36517423086</v>
      </c>
      <c r="P29" s="50" t="n">
        <f aca="false">SUM(P19:P28)</f>
        <v>16157.9919818383</v>
      </c>
    </row>
    <row r="31" customFormat="false" ht="15" hidden="false" customHeight="false" outlineLevel="0" collapsed="false">
      <c r="A31" s="27" t="s">
        <v>705</v>
      </c>
    </row>
    <row r="32" customFormat="false" ht="15" hidden="false" customHeight="false" outlineLevel="0" collapsed="false">
      <c r="A32" s="27" t="s">
        <v>706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Y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8"/>
    <col collapsed="false" customWidth="true" hidden="false" outlineLevel="0" max="4" min="4" style="0" width="13"/>
    <col collapsed="false" customWidth="true" hidden="false" outlineLevel="0" max="16" min="5" style="0" width="9"/>
    <col collapsed="false" customWidth="true" hidden="false" outlineLevel="0" max="18" min="17" style="0" width="12"/>
    <col collapsed="false" customWidth="true" hidden="false" outlineLevel="0" max="19" min="19" style="0" width="10"/>
    <col collapsed="false" customWidth="true" hidden="false" outlineLevel="0" max="20" min="20" style="0" width="11"/>
    <col collapsed="false" customWidth="true" hidden="false" outlineLevel="0" max="21" min="21" style="0" width="13"/>
    <col collapsed="false" customWidth="true" hidden="false" outlineLevel="0" max="22" min="22" style="0" width="20"/>
    <col collapsed="false" customWidth="true" hidden="false" outlineLevel="0" max="24" min="23" style="0" width="12"/>
    <col collapsed="false" customWidth="true" hidden="false" outlineLevel="0" max="25" min="25" style="0" width="56"/>
  </cols>
  <sheetData>
    <row r="1" customFormat="false" ht="24" hidden="false" customHeight="true" outlineLevel="0" collapsed="false">
      <c r="A1" s="34" t="s">
        <v>707</v>
      </c>
    </row>
    <row r="2" customFormat="false" ht="15" hidden="false" customHeight="false" outlineLevel="0" collapsed="false">
      <c r="A2" s="35" t="s">
        <v>708</v>
      </c>
    </row>
    <row r="3" customFormat="false" ht="19.5" hidden="false" customHeight="true" outlineLevel="0" collapsed="false">
      <c r="A3" s="3" t="s">
        <v>709</v>
      </c>
      <c r="B3" s="4"/>
      <c r="C3" s="4"/>
      <c r="D3" s="4"/>
      <c r="E3" s="4"/>
      <c r="F3" s="4"/>
      <c r="G3" s="4"/>
      <c r="H3" s="4"/>
      <c r="I3" s="4"/>
      <c r="J3" s="4"/>
      <c r="K3" s="4"/>
      <c r="L3" s="4"/>
      <c r="M3" s="4"/>
      <c r="N3" s="4"/>
      <c r="O3" s="4"/>
      <c r="P3" s="4"/>
      <c r="Q3" s="4"/>
      <c r="R3" s="4"/>
    </row>
    <row r="4" customFormat="false" ht="36" hidden="false" customHeight="true" outlineLevel="0" collapsed="false">
      <c r="A4" s="8" t="s">
        <v>584</v>
      </c>
      <c r="B4" s="8" t="s">
        <v>100</v>
      </c>
      <c r="C4" s="8" t="s">
        <v>710</v>
      </c>
      <c r="D4" s="8" t="s">
        <v>711</v>
      </c>
      <c r="E4" s="25" t="n">
        <f aca="false">Demand_Plan!E$23</f>
        <v>46327</v>
      </c>
      <c r="F4" s="25" t="n">
        <f aca="false">Demand_Plan!F$23</f>
        <v>46357</v>
      </c>
      <c r="G4" s="25" t="n">
        <f aca="false">Demand_Plan!G$23</f>
        <v>46388</v>
      </c>
      <c r="H4" s="25" t="n">
        <f aca="false">Demand_Plan!H$23</f>
        <v>46419</v>
      </c>
      <c r="I4" s="25" t="n">
        <f aca="false">Demand_Plan!I$23</f>
        <v>46447</v>
      </c>
      <c r="J4" s="25" t="n">
        <f aca="false">Demand_Plan!J$23</f>
        <v>46478</v>
      </c>
      <c r="K4" s="25" t="n">
        <f aca="false">Demand_Plan!K$23</f>
        <v>46508</v>
      </c>
      <c r="L4" s="25" t="n">
        <f aca="false">Demand_Plan!L$23</f>
        <v>46539</v>
      </c>
      <c r="M4" s="25" t="n">
        <f aca="false">Demand_Plan!M$23</f>
        <v>46569</v>
      </c>
      <c r="N4" s="25" t="n">
        <f aca="false">Demand_Plan!N$23</f>
        <v>46600</v>
      </c>
      <c r="O4" s="25" t="n">
        <f aca="false">Demand_Plan!O$23</f>
        <v>46631</v>
      </c>
      <c r="P4" s="25" t="n">
        <f aca="false">Demand_Plan!P$23</f>
        <v>46661</v>
      </c>
      <c r="Q4" s="8" t="s">
        <v>712</v>
      </c>
      <c r="R4" s="8" t="s">
        <v>713</v>
      </c>
    </row>
    <row r="5" customFormat="false" ht="15" hidden="false" customHeight="false" outlineLevel="0" collapsed="false">
      <c r="A5" s="6" t="s">
        <v>595</v>
      </c>
      <c r="B5" s="43" t="str">
        <f aca="false">INDEX(WorkCentres!$B$2:$B$10,MATCH($A5,WorkCentres!$A$2:$A$10,0))</f>
        <v>Press Shop</v>
      </c>
      <c r="C5" s="45" t="n">
        <f aca="false">INDEX(WorkCentres!$G$2:$G$10,MATCH($A5,WorkCentres!$A$2:$A$10,0))</f>
        <v>21</v>
      </c>
      <c r="D5" s="45" t="n">
        <f aca="false">INDEX(WorkCentres!$M$2:$M$10,MATCH($A5,WorkCentres!$A$2:$A$10,0))</f>
        <v>6988.8</v>
      </c>
      <c r="E5" s="29" t="n">
        <f aca="false">SUMPRODUCT(Demand_Plan!E$24:E$38,INDEX(Routing!$C$6:$K$20,0,MATCH($A5,Routing!$C$4:$K$4,0)))/60</f>
        <v>4335.13333333333</v>
      </c>
      <c r="F5" s="29" t="n">
        <f aca="false">SUMPRODUCT(Demand_Plan!F$24:F$38,INDEX(Routing!$C$6:$K$20,0,MATCH($A5,Routing!$C$4:$K$4,0)))/60</f>
        <v>3977.01666666667</v>
      </c>
      <c r="G5" s="29" t="n">
        <f aca="false">SUMPRODUCT(Demand_Plan!G$24:G$38,INDEX(Routing!$C$6:$K$20,0,MATCH($A5,Routing!$C$4:$K$4,0)))/60</f>
        <v>3972.675</v>
      </c>
      <c r="H5" s="29" t="n">
        <f aca="false">SUMPRODUCT(Demand_Plan!H$24:H$38,INDEX(Routing!$C$6:$K$20,0,MATCH($A5,Routing!$C$4:$K$4,0)))/60</f>
        <v>4730.80833333333</v>
      </c>
      <c r="I5" s="29" t="n">
        <f aca="false">SUMPRODUCT(Demand_Plan!I$24:I$38,INDEX(Routing!$C$6:$K$20,0,MATCH($A5,Routing!$C$4:$K$4,0)))/60</f>
        <v>6150.11666666667</v>
      </c>
      <c r="J5" s="29" t="n">
        <f aca="false">SUMPRODUCT(Demand_Plan!J$24:J$38,INDEX(Routing!$C$6:$K$20,0,MATCH($A5,Routing!$C$4:$K$4,0)))/60</f>
        <v>6760.875</v>
      </c>
      <c r="K5" s="29" t="n">
        <f aca="false">SUMPRODUCT(Demand_Plan!K$24:K$38,INDEX(Routing!$C$6:$K$20,0,MATCH($A5,Routing!$C$4:$K$4,0)))/60</f>
        <v>6449.73333333333</v>
      </c>
      <c r="L5" s="29" t="n">
        <f aca="false">SUMPRODUCT(Demand_Plan!L$24:L$38,INDEX(Routing!$C$6:$K$20,0,MATCH($A5,Routing!$C$4:$K$4,0)))/60</f>
        <v>5419.6</v>
      </c>
      <c r="M5" s="29" t="n">
        <f aca="false">SUMPRODUCT(Demand_Plan!M$24:M$38,INDEX(Routing!$C$6:$K$20,0,MATCH($A5,Routing!$C$4:$K$4,0)))/60</f>
        <v>4163.38333333333</v>
      </c>
      <c r="N5" s="29" t="n">
        <f aca="false">SUMPRODUCT(Demand_Plan!N$24:N$38,INDEX(Routing!$C$6:$K$20,0,MATCH($A5,Routing!$C$4:$K$4,0)))/60</f>
        <v>3880.06666666667</v>
      </c>
      <c r="O5" s="29" t="n">
        <f aca="false">SUMPRODUCT(Demand_Plan!O$24:O$38,INDEX(Routing!$C$6:$K$20,0,MATCH($A5,Routing!$C$4:$K$4,0)))/60</f>
        <v>4580.11666666667</v>
      </c>
      <c r="P5" s="29" t="n">
        <f aca="false">SUMPRODUCT(Demand_Plan!P$24:P$38,INDEX(Routing!$C$6:$K$20,0,MATCH($A5,Routing!$C$4:$K$4,0)))/60</f>
        <v>5167.175</v>
      </c>
      <c r="Q5" s="29" t="n">
        <f aca="false">AVERAGE(E5:P5)</f>
        <v>4965.55833333333</v>
      </c>
      <c r="R5" s="29" t="n">
        <f aca="false">MAX(E5:P5)</f>
        <v>6760.875</v>
      </c>
    </row>
    <row r="6" customFormat="false" ht="15" hidden="false" customHeight="false" outlineLevel="0" collapsed="false">
      <c r="A6" s="6" t="s">
        <v>601</v>
      </c>
      <c r="B6" s="43" t="str">
        <f aca="false">INDEX(WorkCentres!$B$2:$B$10,MATCH($A6,WorkCentres!$A$2:$A$10,0))</f>
        <v>Aluminium Die-Casting &amp; Machining</v>
      </c>
      <c r="C6" s="45" t="n">
        <f aca="false">INDEX(WorkCentres!$G$2:$G$10,MATCH($A6,WorkCentres!$A$2:$A$10,0))</f>
        <v>7</v>
      </c>
      <c r="D6" s="45" t="n">
        <f aca="false">INDEX(WorkCentres!$M$2:$M$10,MATCH($A6,WorkCentres!$A$2:$A$10,0))</f>
        <v>3276</v>
      </c>
      <c r="E6" s="29" t="n">
        <f aca="false">SUMPRODUCT(Demand_Plan!E$24:E$38,INDEX(Routing!$C$6:$K$20,0,MATCH($A6,Routing!$C$4:$K$4,0)))/60</f>
        <v>2272.75833333333</v>
      </c>
      <c r="F6" s="29" t="n">
        <f aca="false">SUMPRODUCT(Demand_Plan!F$24:F$38,INDEX(Routing!$C$6:$K$20,0,MATCH($A6,Routing!$C$4:$K$4,0)))/60</f>
        <v>2007.44166666667</v>
      </c>
      <c r="G6" s="29" t="n">
        <f aca="false">SUMPRODUCT(Demand_Plan!G$24:G$38,INDEX(Routing!$C$6:$K$20,0,MATCH($A6,Routing!$C$4:$K$4,0)))/60</f>
        <v>1971.13333333333</v>
      </c>
      <c r="H6" s="29" t="n">
        <f aca="false">SUMPRODUCT(Demand_Plan!H$24:H$38,INDEX(Routing!$C$6:$K$20,0,MATCH($A6,Routing!$C$4:$K$4,0)))/60</f>
        <v>2351.80833333333</v>
      </c>
      <c r="I6" s="29" t="n">
        <f aca="false">SUMPRODUCT(Demand_Plan!I$24:I$38,INDEX(Routing!$C$6:$K$20,0,MATCH($A6,Routing!$C$4:$K$4,0)))/60</f>
        <v>2995.83333333333</v>
      </c>
      <c r="J6" s="29" t="n">
        <f aca="false">SUMPRODUCT(Demand_Plan!J$24:J$38,INDEX(Routing!$C$6:$K$20,0,MATCH($A6,Routing!$C$4:$K$4,0)))/60</f>
        <v>3238.43333333333</v>
      </c>
      <c r="K6" s="29" t="n">
        <f aca="false">SUMPRODUCT(Demand_Plan!K$24:K$38,INDEX(Routing!$C$6:$K$20,0,MATCH($A6,Routing!$C$4:$K$4,0)))/60</f>
        <v>3108.63333333333</v>
      </c>
      <c r="L6" s="29" t="n">
        <f aca="false">SUMPRODUCT(Demand_Plan!L$24:L$38,INDEX(Routing!$C$6:$K$20,0,MATCH($A6,Routing!$C$4:$K$4,0)))/60</f>
        <v>2694.79166666667</v>
      </c>
      <c r="M6" s="29" t="n">
        <f aca="false">SUMPRODUCT(Demand_Plan!M$24:M$38,INDEX(Routing!$C$6:$K$20,0,MATCH($A6,Routing!$C$4:$K$4,0)))/60</f>
        <v>2166.69166666667</v>
      </c>
      <c r="N6" s="29" t="n">
        <f aca="false">SUMPRODUCT(Demand_Plan!N$24:N$38,INDEX(Routing!$C$6:$K$20,0,MATCH($A6,Routing!$C$4:$K$4,0)))/60</f>
        <v>2059.35</v>
      </c>
      <c r="O6" s="29" t="n">
        <f aca="false">SUMPRODUCT(Demand_Plan!O$24:O$38,INDEX(Routing!$C$6:$K$20,0,MATCH($A6,Routing!$C$4:$K$4,0)))/60</f>
        <v>2350.70833333333</v>
      </c>
      <c r="P6" s="29" t="n">
        <f aca="false">SUMPRODUCT(Demand_Plan!P$24:P$38,INDEX(Routing!$C$6:$K$20,0,MATCH($A6,Routing!$C$4:$K$4,0)))/60</f>
        <v>2624.5</v>
      </c>
      <c r="Q6" s="29" t="n">
        <f aca="false">AVERAGE(E6:P6)</f>
        <v>2486.84027777778</v>
      </c>
      <c r="R6" s="29" t="n">
        <f aca="false">MAX(E6:P6)</f>
        <v>3238.43333333333</v>
      </c>
    </row>
    <row r="7" customFormat="false" ht="15" hidden="false" customHeight="false" outlineLevel="0" collapsed="false">
      <c r="A7" s="6" t="s">
        <v>607</v>
      </c>
      <c r="B7" s="43" t="str">
        <f aca="false">INDEX(WorkCentres!$B$2:$B$10,MATCH($A7,WorkCentres!$A$2:$A$10,0))</f>
        <v>Injection Moulding</v>
      </c>
      <c r="C7" s="45" t="n">
        <f aca="false">INDEX(WorkCentres!$G$2:$G$10,MATCH($A7,WorkCentres!$A$2:$A$10,0))</f>
        <v>8</v>
      </c>
      <c r="D7" s="45" t="n">
        <f aca="false">INDEX(WorkCentres!$M$2:$M$10,MATCH($A7,WorkCentres!$A$2:$A$10,0))</f>
        <v>3993.6</v>
      </c>
      <c r="E7" s="29" t="n">
        <f aca="false">SUMPRODUCT(Demand_Plan!E$24:E$38,INDEX(Routing!$C$6:$K$20,0,MATCH($A7,Routing!$C$4:$K$4,0)))/60</f>
        <v>2878.6</v>
      </c>
      <c r="F7" s="29" t="n">
        <f aca="false">SUMPRODUCT(Demand_Plan!F$24:F$38,INDEX(Routing!$C$6:$K$20,0,MATCH($A7,Routing!$C$4:$K$4,0)))/60</f>
        <v>2757.19166666667</v>
      </c>
      <c r="G7" s="29" t="n">
        <f aca="false">SUMPRODUCT(Demand_Plan!G$24:G$38,INDEX(Routing!$C$6:$K$20,0,MATCH($A7,Routing!$C$4:$K$4,0)))/60</f>
        <v>2687.68333333333</v>
      </c>
      <c r="H7" s="29" t="n">
        <f aca="false">SUMPRODUCT(Demand_Plan!H$24:H$38,INDEX(Routing!$C$6:$K$20,0,MATCH($A7,Routing!$C$4:$K$4,0)))/60</f>
        <v>2867.45</v>
      </c>
      <c r="I7" s="29" t="n">
        <f aca="false">SUMPRODUCT(Demand_Plan!I$24:I$38,INDEX(Routing!$C$6:$K$20,0,MATCH($A7,Routing!$C$4:$K$4,0)))/60</f>
        <v>3711.76666666667</v>
      </c>
      <c r="J7" s="29" t="n">
        <f aca="false">SUMPRODUCT(Demand_Plan!J$24:J$38,INDEX(Routing!$C$6:$K$20,0,MATCH($A7,Routing!$C$4:$K$4,0)))/60</f>
        <v>4056.98333333333</v>
      </c>
      <c r="K7" s="29" t="n">
        <f aca="false">SUMPRODUCT(Demand_Plan!K$24:K$38,INDEX(Routing!$C$6:$K$20,0,MATCH($A7,Routing!$C$4:$K$4,0)))/60</f>
        <v>3799.56666666667</v>
      </c>
      <c r="L7" s="29" t="n">
        <f aca="false">SUMPRODUCT(Demand_Plan!L$24:L$38,INDEX(Routing!$C$6:$K$20,0,MATCH($A7,Routing!$C$4:$K$4,0)))/60</f>
        <v>3024.88333333333</v>
      </c>
      <c r="M7" s="29" t="n">
        <f aca="false">SUMPRODUCT(Demand_Plan!M$24:M$38,INDEX(Routing!$C$6:$K$20,0,MATCH($A7,Routing!$C$4:$K$4,0)))/60</f>
        <v>2424.5</v>
      </c>
      <c r="N7" s="29" t="n">
        <f aca="false">SUMPRODUCT(Demand_Plan!N$24:N$38,INDEX(Routing!$C$6:$K$20,0,MATCH($A7,Routing!$C$4:$K$4,0)))/60</f>
        <v>2197.18333333333</v>
      </c>
      <c r="O7" s="29" t="n">
        <f aca="false">SUMPRODUCT(Demand_Plan!O$24:O$38,INDEX(Routing!$C$6:$K$20,0,MATCH($A7,Routing!$C$4:$K$4,0)))/60</f>
        <v>2409.55833333333</v>
      </c>
      <c r="P7" s="29" t="n">
        <f aca="false">SUMPRODUCT(Demand_Plan!P$24:P$38,INDEX(Routing!$C$6:$K$20,0,MATCH($A7,Routing!$C$4:$K$4,0)))/60</f>
        <v>2831.73333333333</v>
      </c>
      <c r="Q7" s="29" t="n">
        <f aca="false">AVERAGE(E7:P7)</f>
        <v>2970.59166666667</v>
      </c>
      <c r="R7" s="29" t="n">
        <f aca="false">MAX(E7:P7)</f>
        <v>4056.98333333333</v>
      </c>
    </row>
    <row r="8" customFormat="false" ht="15" hidden="false" customHeight="false" outlineLevel="0" collapsed="false">
      <c r="A8" s="6" t="s">
        <v>613</v>
      </c>
      <c r="B8" s="43" t="str">
        <f aca="false">INDEX(WorkCentres!$B$2:$B$10,MATCH($A8,WorkCentres!$A$2:$A$10,0))</f>
        <v>Winding &amp; Motor / Element Sub-Assembly</v>
      </c>
      <c r="C8" s="45" t="n">
        <f aca="false">INDEX(WorkCentres!$G$2:$G$10,MATCH($A8,WorkCentres!$A$2:$A$10,0))</f>
        <v>33</v>
      </c>
      <c r="D8" s="45" t="n">
        <f aca="false">INDEX(WorkCentres!$M$2:$M$10,MATCH($A8,WorkCentres!$A$2:$A$10,0))</f>
        <v>11256.96</v>
      </c>
      <c r="E8" s="29" t="n">
        <f aca="false">SUMPRODUCT(Demand_Plan!E$24:E$38,INDEX(Routing!$C$6:$K$20,0,MATCH($A8,Routing!$C$4:$K$4,0)))/60</f>
        <v>7506.14166666667</v>
      </c>
      <c r="F8" s="29" t="n">
        <f aca="false">SUMPRODUCT(Demand_Plan!F$24:F$38,INDEX(Routing!$C$6:$K$20,0,MATCH($A8,Routing!$C$4:$K$4,0)))/60</f>
        <v>7111.2</v>
      </c>
      <c r="G8" s="29" t="n">
        <f aca="false">SUMPRODUCT(Demand_Plan!G$24:G$38,INDEX(Routing!$C$6:$K$20,0,MATCH($A8,Routing!$C$4:$K$4,0)))/60</f>
        <v>7095.05833333333</v>
      </c>
      <c r="H8" s="29" t="n">
        <f aca="false">SUMPRODUCT(Demand_Plan!H$24:H$38,INDEX(Routing!$C$6:$K$20,0,MATCH($A8,Routing!$C$4:$K$4,0)))/60</f>
        <v>7839.45</v>
      </c>
      <c r="I8" s="29" t="n">
        <f aca="false">SUMPRODUCT(Demand_Plan!I$24:I$38,INDEX(Routing!$C$6:$K$20,0,MATCH($A8,Routing!$C$4:$K$4,0)))/60</f>
        <v>9513.94166666667</v>
      </c>
      <c r="J8" s="29" t="n">
        <f aca="false">SUMPRODUCT(Demand_Plan!J$24:J$38,INDEX(Routing!$C$6:$K$20,0,MATCH($A8,Routing!$C$4:$K$4,0)))/60</f>
        <v>10203.9166666667</v>
      </c>
      <c r="K8" s="29" t="n">
        <f aca="false">SUMPRODUCT(Demand_Plan!K$24:K$38,INDEX(Routing!$C$6:$K$20,0,MATCH($A8,Routing!$C$4:$K$4,0)))/60</f>
        <v>9723.675</v>
      </c>
      <c r="L8" s="29" t="n">
        <f aca="false">SUMPRODUCT(Demand_Plan!L$24:L$38,INDEX(Routing!$C$6:$K$20,0,MATCH($A8,Routing!$C$4:$K$4,0)))/60</f>
        <v>8285.36666666667</v>
      </c>
      <c r="M8" s="29" t="n">
        <f aca="false">SUMPRODUCT(Demand_Plan!M$24:M$38,INDEX(Routing!$C$6:$K$20,0,MATCH($A8,Routing!$C$4:$K$4,0)))/60</f>
        <v>6557.01666666667</v>
      </c>
      <c r="N8" s="29" t="n">
        <f aca="false">SUMPRODUCT(Demand_Plan!N$24:N$38,INDEX(Routing!$C$6:$K$20,0,MATCH($A8,Routing!$C$4:$K$4,0)))/60</f>
        <v>6174.84166666667</v>
      </c>
      <c r="O8" s="29" t="n">
        <f aca="false">SUMPRODUCT(Demand_Plan!O$24:O$38,INDEX(Routing!$C$6:$K$20,0,MATCH($A8,Routing!$C$4:$K$4,0)))/60</f>
        <v>7218.48333333333</v>
      </c>
      <c r="P8" s="29" t="n">
        <f aca="false">SUMPRODUCT(Demand_Plan!P$24:P$38,INDEX(Routing!$C$6:$K$20,0,MATCH($A8,Routing!$C$4:$K$4,0)))/60</f>
        <v>8435.30833333333</v>
      </c>
      <c r="Q8" s="29" t="n">
        <f aca="false">AVERAGE(E8:P8)</f>
        <v>7972.03333333333</v>
      </c>
      <c r="R8" s="29" t="n">
        <f aca="false">MAX(E8:P8)</f>
        <v>10203.9166666667</v>
      </c>
    </row>
    <row r="9" customFormat="false" ht="15" hidden="false" customHeight="false" outlineLevel="0" collapsed="false">
      <c r="A9" s="6" t="s">
        <v>619</v>
      </c>
      <c r="B9" s="43" t="str">
        <f aca="false">INDEX(WorkCentres!$B$2:$B$10,MATCH($A9,WorkCentres!$A$2:$A$10,0))</f>
        <v>Powder-Coating Line</v>
      </c>
      <c r="C9" s="45" t="n">
        <f aca="false">INDEX(WorkCentres!$G$2:$G$10,MATCH($A9,WorkCentres!$A$2:$A$10,0))</f>
        <v>1</v>
      </c>
      <c r="D9" s="45" t="n">
        <f aca="false">INDEX(WorkCentres!$M$2:$M$10,MATCH($A9,WorkCentres!$A$2:$A$10,0))</f>
        <v>486.72</v>
      </c>
      <c r="E9" s="29" t="n">
        <f aca="false">SUMPRODUCT(Demand_Plan!E$24:E$38,INDEX(Routing!$C$6:$K$20,0,MATCH($A9,Routing!$C$4:$K$4,0)))/60</f>
        <v>233.366666666667</v>
      </c>
      <c r="F9" s="29" t="n">
        <f aca="false">SUMPRODUCT(Demand_Plan!F$24:F$38,INDEX(Routing!$C$6:$K$20,0,MATCH($A9,Routing!$C$4:$K$4,0)))/60</f>
        <v>216.508333333333</v>
      </c>
      <c r="G9" s="29" t="n">
        <f aca="false">SUMPRODUCT(Demand_Plan!G$24:G$38,INDEX(Routing!$C$6:$K$20,0,MATCH($A9,Routing!$C$4:$K$4,0)))/60</f>
        <v>227.366666666667</v>
      </c>
      <c r="H9" s="29" t="n">
        <f aca="false">SUMPRODUCT(Demand_Plan!H$24:H$38,INDEX(Routing!$C$6:$K$20,0,MATCH($A9,Routing!$C$4:$K$4,0)))/60</f>
        <v>292.15</v>
      </c>
      <c r="I9" s="29" t="n">
        <f aca="false">SUMPRODUCT(Demand_Plan!I$24:I$38,INDEX(Routing!$C$6:$K$20,0,MATCH($A9,Routing!$C$4:$K$4,0)))/60</f>
        <v>419.533333333333</v>
      </c>
      <c r="J9" s="29" t="n">
        <f aca="false">SUMPRODUCT(Demand_Plan!J$24:J$38,INDEX(Routing!$C$6:$K$20,0,MATCH($A9,Routing!$C$4:$K$4,0)))/60</f>
        <v>481.8</v>
      </c>
      <c r="K9" s="29" t="n">
        <f aca="false">SUMPRODUCT(Demand_Plan!K$24:K$38,INDEX(Routing!$C$6:$K$20,0,MATCH($A9,Routing!$C$4:$K$4,0)))/60</f>
        <v>458.133333333333</v>
      </c>
      <c r="L9" s="29" t="n">
        <f aca="false">SUMPRODUCT(Demand_Plan!L$24:L$38,INDEX(Routing!$C$6:$K$20,0,MATCH($A9,Routing!$C$4:$K$4,0)))/60</f>
        <v>373.183333333333</v>
      </c>
      <c r="M9" s="29" t="n">
        <f aca="false">SUMPRODUCT(Demand_Plan!M$24:M$38,INDEX(Routing!$C$6:$K$20,0,MATCH($A9,Routing!$C$4:$K$4,0)))/60</f>
        <v>265.166666666667</v>
      </c>
      <c r="N9" s="29" t="n">
        <f aca="false">SUMPRODUCT(Demand_Plan!N$24:N$38,INDEX(Routing!$C$6:$K$20,0,MATCH($A9,Routing!$C$4:$K$4,0)))/60</f>
        <v>237.366666666667</v>
      </c>
      <c r="O9" s="29" t="n">
        <f aca="false">SUMPRODUCT(Demand_Plan!O$24:O$38,INDEX(Routing!$C$6:$K$20,0,MATCH($A9,Routing!$C$4:$K$4,0)))/60</f>
        <v>291.325</v>
      </c>
      <c r="P9" s="29" t="n">
        <f aca="false">SUMPRODUCT(Demand_Plan!P$24:P$38,INDEX(Routing!$C$6:$K$20,0,MATCH($A9,Routing!$C$4:$K$4,0)))/60</f>
        <v>306.883333333333</v>
      </c>
      <c r="Q9" s="29" t="n">
        <f aca="false">AVERAGE(E9:P9)</f>
        <v>316.898611111111</v>
      </c>
      <c r="R9" s="29" t="n">
        <f aca="false">MAX(E9:P9)</f>
        <v>481.8</v>
      </c>
    </row>
    <row r="10" customFormat="false" ht="15" hidden="false" customHeight="false" outlineLevel="0" collapsed="false">
      <c r="A10" s="6" t="s">
        <v>195</v>
      </c>
      <c r="B10" s="43" t="str">
        <f aca="false">INDEX(WorkCentres!$B$2:$B$10,MATCH($A10,WorkCentres!$A$2:$A$10,0))</f>
        <v>FA-1 Final Assembly: Fans &amp; Coolers</v>
      </c>
      <c r="C10" s="45" t="n">
        <f aca="false">INDEX(WorkCentres!$G$2:$G$10,MATCH($A10,WorkCentres!$A$2:$A$10,0))</f>
        <v>55</v>
      </c>
      <c r="D10" s="45" t="n">
        <f aca="false">INDEX(WorkCentres!$M$2:$M$10,MATCH($A10,WorkCentres!$A$2:$A$10,0))</f>
        <v>19448</v>
      </c>
      <c r="E10" s="29" t="n">
        <f aca="false">SUMPRODUCT(Demand_Plan!E$24:E$38,INDEX(Routing!$C$6:$K$20,0,MATCH($A10,Routing!$C$4:$K$4,0)))/60</f>
        <v>6865.41666666667</v>
      </c>
      <c r="F10" s="29" t="n">
        <f aca="false">SUMPRODUCT(Demand_Plan!F$24:F$38,INDEX(Routing!$C$6:$K$20,0,MATCH($A10,Routing!$C$4:$K$4,0)))/60</f>
        <v>5810</v>
      </c>
      <c r="G10" s="29" t="n">
        <f aca="false">SUMPRODUCT(Demand_Plan!G$24:G$38,INDEX(Routing!$C$6:$K$20,0,MATCH($A10,Routing!$C$4:$K$4,0)))/60</f>
        <v>6263.33333333333</v>
      </c>
      <c r="H10" s="29" t="n">
        <f aca="false">SUMPRODUCT(Demand_Plan!H$24:H$38,INDEX(Routing!$C$6:$K$20,0,MATCH($A10,Routing!$C$4:$K$4,0)))/60</f>
        <v>10245.4166666667</v>
      </c>
      <c r="I10" s="29" t="n">
        <f aca="false">SUMPRODUCT(Demand_Plan!I$24:I$38,INDEX(Routing!$C$6:$K$20,0,MATCH($A10,Routing!$C$4:$K$4,0)))/60</f>
        <v>17711.6666666667</v>
      </c>
      <c r="J10" s="29" t="n">
        <f aca="false">SUMPRODUCT(Demand_Plan!J$24:J$38,INDEX(Routing!$C$6:$K$20,0,MATCH($A10,Routing!$C$4:$K$4,0)))/60</f>
        <v>21154.1666666667</v>
      </c>
      <c r="K10" s="29" t="n">
        <f aca="false">SUMPRODUCT(Demand_Plan!K$24:K$38,INDEX(Routing!$C$6:$K$20,0,MATCH($A10,Routing!$C$4:$K$4,0)))/60</f>
        <v>19931.6666666667</v>
      </c>
      <c r="L10" s="29" t="n">
        <f aca="false">SUMPRODUCT(Demand_Plan!L$24:L$38,INDEX(Routing!$C$6:$K$20,0,MATCH($A10,Routing!$C$4:$K$4,0)))/60</f>
        <v>15432.9166666667</v>
      </c>
      <c r="M10" s="29" t="n">
        <f aca="false">SUMPRODUCT(Demand_Plan!M$24:M$38,INDEX(Routing!$C$6:$K$20,0,MATCH($A10,Routing!$C$4:$K$4,0)))/60</f>
        <v>10440.4166666667</v>
      </c>
      <c r="N10" s="29" t="n">
        <f aca="false">SUMPRODUCT(Demand_Plan!N$24:N$38,INDEX(Routing!$C$6:$K$20,0,MATCH($A10,Routing!$C$4:$K$4,0)))/60</f>
        <v>8935.83333333333</v>
      </c>
      <c r="O10" s="29" t="n">
        <f aca="false">SUMPRODUCT(Demand_Plan!O$24:O$38,INDEX(Routing!$C$6:$K$20,0,MATCH($A10,Routing!$C$4:$K$4,0)))/60</f>
        <v>10886.6666666667</v>
      </c>
      <c r="P10" s="29" t="n">
        <f aca="false">SUMPRODUCT(Demand_Plan!P$24:P$38,INDEX(Routing!$C$6:$K$20,0,MATCH($A10,Routing!$C$4:$K$4,0)))/60</f>
        <v>10680</v>
      </c>
      <c r="Q10" s="29" t="n">
        <f aca="false">AVERAGE(E10:P10)</f>
        <v>12029.7916666667</v>
      </c>
      <c r="R10" s="29" t="n">
        <f aca="false">MAX(E10:P10)</f>
        <v>21154.1666666667</v>
      </c>
    </row>
    <row r="11" customFormat="false" ht="15" hidden="false" customHeight="false" outlineLevel="0" collapsed="false">
      <c r="A11" s="6" t="s">
        <v>220</v>
      </c>
      <c r="B11" s="43" t="str">
        <f aca="false">INDEX(WorkCentres!$B$2:$B$10,MATCH($A11,WorkCentres!$A$2:$A$10,0))</f>
        <v>FA-2 Final Assembly: Kitchen Appliances</v>
      </c>
      <c r="C11" s="45" t="n">
        <f aca="false">INDEX(WorkCentres!$G$2:$G$10,MATCH($A11,WorkCentres!$A$2:$A$10,0))</f>
        <v>30</v>
      </c>
      <c r="D11" s="45" t="n">
        <f aca="false">INDEX(WorkCentres!$M$2:$M$10,MATCH($A11,WorkCentres!$A$2:$A$10,0))</f>
        <v>10608</v>
      </c>
      <c r="E11" s="29" t="n">
        <f aca="false">SUMPRODUCT(Demand_Plan!E$24:E$38,INDEX(Routing!$C$6:$K$20,0,MATCH($A11,Routing!$C$4:$K$4,0)))/60</f>
        <v>9499.16666666667</v>
      </c>
      <c r="F11" s="29" t="n">
        <f aca="false">SUMPRODUCT(Demand_Plan!F$24:F$38,INDEX(Routing!$C$6:$K$20,0,MATCH($A11,Routing!$C$4:$K$4,0)))/60</f>
        <v>8402.91666666667</v>
      </c>
      <c r="G11" s="29" t="n">
        <f aca="false">SUMPRODUCT(Demand_Plan!G$24:G$38,INDEX(Routing!$C$6:$K$20,0,MATCH($A11,Routing!$C$4:$K$4,0)))/60</f>
        <v>7598.33333333333</v>
      </c>
      <c r="H11" s="29" t="n">
        <f aca="false">SUMPRODUCT(Demand_Plan!H$24:H$38,INDEX(Routing!$C$6:$K$20,0,MATCH($A11,Routing!$C$4:$K$4,0)))/60</f>
        <v>7510</v>
      </c>
      <c r="I11" s="29" t="n">
        <f aca="false">SUMPRODUCT(Demand_Plan!I$24:I$38,INDEX(Routing!$C$6:$K$20,0,MATCH($A11,Routing!$C$4:$K$4,0)))/60</f>
        <v>6733.33333333333</v>
      </c>
      <c r="J11" s="29" t="n">
        <f aca="false">SUMPRODUCT(Demand_Plan!J$24:J$38,INDEX(Routing!$C$6:$K$20,0,MATCH($A11,Routing!$C$4:$K$4,0)))/60</f>
        <v>5961.66666666667</v>
      </c>
      <c r="K11" s="29" t="n">
        <f aca="false">SUMPRODUCT(Demand_Plan!K$24:K$38,INDEX(Routing!$C$6:$K$20,0,MATCH($A11,Routing!$C$4:$K$4,0)))/60</f>
        <v>5903.33333333333</v>
      </c>
      <c r="L11" s="29" t="n">
        <f aca="false">SUMPRODUCT(Demand_Plan!L$24:L$38,INDEX(Routing!$C$6:$K$20,0,MATCH($A11,Routing!$C$4:$K$4,0)))/60</f>
        <v>6047.5</v>
      </c>
      <c r="M11" s="29" t="n">
        <f aca="false">SUMPRODUCT(Demand_Plan!M$24:M$38,INDEX(Routing!$C$6:$K$20,0,MATCH($A11,Routing!$C$4:$K$4,0)))/60</f>
        <v>6225</v>
      </c>
      <c r="N11" s="29" t="n">
        <f aca="false">SUMPRODUCT(Demand_Plan!N$24:N$38,INDEX(Routing!$C$6:$K$20,0,MATCH($A11,Routing!$C$4:$K$4,0)))/60</f>
        <v>6594.16666666667</v>
      </c>
      <c r="O11" s="29" t="n">
        <f aca="false">SUMPRODUCT(Demand_Plan!O$24:O$38,INDEX(Routing!$C$6:$K$20,0,MATCH($A11,Routing!$C$4:$K$4,0)))/60</f>
        <v>7247.91666666667</v>
      </c>
      <c r="P11" s="29" t="n">
        <f aca="false">SUMPRODUCT(Demand_Plan!P$24:P$38,INDEX(Routing!$C$6:$K$20,0,MATCH($A11,Routing!$C$4:$K$4,0)))/60</f>
        <v>9479.16666666667</v>
      </c>
      <c r="Q11" s="29" t="n">
        <f aca="false">AVERAGE(E11:P11)</f>
        <v>7266.875</v>
      </c>
      <c r="R11" s="29" t="n">
        <f aca="false">MAX(E11:P11)</f>
        <v>9499.16666666667</v>
      </c>
    </row>
    <row r="12" customFormat="false" ht="15" hidden="false" customHeight="false" outlineLevel="0" collapsed="false">
      <c r="A12" s="6" t="s">
        <v>241</v>
      </c>
      <c r="B12" s="43" t="str">
        <f aca="false">INDEX(WorkCentres!$B$2:$B$10,MATCH($A12,WorkCentres!$A$2:$A$10,0))</f>
        <v>FA-3 Final Assembly: Heating, Personal Care &amp; Pumps</v>
      </c>
      <c r="C12" s="45" t="n">
        <f aca="false">INDEX(WorkCentres!$G$2:$G$10,MATCH($A12,WorkCentres!$A$2:$A$10,0))</f>
        <v>14</v>
      </c>
      <c r="D12" s="45" t="n">
        <f aca="false">INDEX(WorkCentres!$M$2:$M$10,MATCH($A12,WorkCentres!$A$2:$A$10,0))</f>
        <v>4950.4</v>
      </c>
      <c r="E12" s="29" t="n">
        <f aca="false">SUMPRODUCT(Demand_Plan!E$24:E$38,INDEX(Routing!$C$6:$K$20,0,MATCH($A12,Routing!$C$4:$K$4,0)))/60</f>
        <v>4474.16666666667</v>
      </c>
      <c r="F12" s="29" t="n">
        <f aca="false">SUMPRODUCT(Demand_Plan!F$24:F$38,INDEX(Routing!$C$6:$K$20,0,MATCH($A12,Routing!$C$4:$K$4,0)))/60</f>
        <v>5105</v>
      </c>
      <c r="G12" s="29" t="n">
        <f aca="false">SUMPRODUCT(Demand_Plan!G$24:G$38,INDEX(Routing!$C$6:$K$20,0,MATCH($A12,Routing!$C$4:$K$4,0)))/60</f>
        <v>5224.16666666667</v>
      </c>
      <c r="H12" s="29" t="n">
        <f aca="false">SUMPRODUCT(Demand_Plan!H$24:H$38,INDEX(Routing!$C$6:$K$20,0,MATCH($A12,Routing!$C$4:$K$4,0)))/60</f>
        <v>3919.16666666667</v>
      </c>
      <c r="I12" s="29" t="n">
        <f aca="false">SUMPRODUCT(Demand_Plan!I$24:I$38,INDEX(Routing!$C$6:$K$20,0,MATCH($A12,Routing!$C$4:$K$4,0)))/60</f>
        <v>2761.66666666667</v>
      </c>
      <c r="J12" s="29" t="n">
        <f aca="false">SUMPRODUCT(Demand_Plan!J$24:J$38,INDEX(Routing!$C$6:$K$20,0,MATCH($A12,Routing!$C$4:$K$4,0)))/60</f>
        <v>2342.5</v>
      </c>
      <c r="K12" s="29" t="n">
        <f aca="false">SUMPRODUCT(Demand_Plan!K$24:K$38,INDEX(Routing!$C$6:$K$20,0,MATCH($A12,Routing!$C$4:$K$4,0)))/60</f>
        <v>2209.16666666667</v>
      </c>
      <c r="L12" s="29" t="n">
        <f aca="false">SUMPRODUCT(Demand_Plan!L$24:L$38,INDEX(Routing!$C$6:$K$20,0,MATCH($A12,Routing!$C$4:$K$4,0)))/60</f>
        <v>2197.5</v>
      </c>
      <c r="M12" s="29" t="n">
        <f aca="false">SUMPRODUCT(Demand_Plan!M$24:M$38,INDEX(Routing!$C$6:$K$20,0,MATCH($A12,Routing!$C$4:$K$4,0)))/60</f>
        <v>2079.16666666667</v>
      </c>
      <c r="N12" s="29" t="n">
        <f aca="false">SUMPRODUCT(Demand_Plan!N$24:N$38,INDEX(Routing!$C$6:$K$20,0,MATCH($A12,Routing!$C$4:$K$4,0)))/60</f>
        <v>2074.16666666667</v>
      </c>
      <c r="O12" s="29" t="n">
        <f aca="false">SUMPRODUCT(Demand_Plan!O$24:O$38,INDEX(Routing!$C$6:$K$20,0,MATCH($A12,Routing!$C$4:$K$4,0)))/60</f>
        <v>2320</v>
      </c>
      <c r="P12" s="29" t="n">
        <f aca="false">SUMPRODUCT(Demand_Plan!P$24:P$38,INDEX(Routing!$C$6:$K$20,0,MATCH($A12,Routing!$C$4:$K$4,0)))/60</f>
        <v>3355</v>
      </c>
      <c r="Q12" s="29" t="n">
        <f aca="false">AVERAGE(E12:P12)</f>
        <v>3171.80555555556</v>
      </c>
      <c r="R12" s="29" t="n">
        <f aca="false">MAX(E12:P12)</f>
        <v>5224.16666666667</v>
      </c>
    </row>
    <row r="13" customFormat="false" ht="15" hidden="false" customHeight="false" outlineLevel="0" collapsed="false">
      <c r="A13" s="6" t="s">
        <v>637</v>
      </c>
      <c r="B13" s="43" t="str">
        <f aca="false">INDEX(WorkCentres!$B$2:$B$10,MATCH($A13,WorkCentres!$A$2:$A$10,0))</f>
        <v>Packing &amp; Dispatch</v>
      </c>
      <c r="C13" s="45" t="n">
        <f aca="false">INDEX(WorkCentres!$G$2:$G$10,MATCH($A13,WorkCentres!$A$2:$A$10,0))</f>
        <v>15</v>
      </c>
      <c r="D13" s="45" t="n">
        <f aca="false">INDEX(WorkCentres!$M$2:$M$10,MATCH($A13,WorkCentres!$A$2:$A$10,0))</f>
        <v>5491.2</v>
      </c>
      <c r="E13" s="29" t="n">
        <f aca="false">SUMPRODUCT(Demand_Plan!E$24:E$38,INDEX(Routing!$C$6:$K$20,0,MATCH($A13,Routing!$C$4:$K$4,0)))/60</f>
        <v>3658.08333333333</v>
      </c>
      <c r="F13" s="29" t="n">
        <f aca="false">SUMPRODUCT(Demand_Plan!F$24:F$38,INDEX(Routing!$C$6:$K$20,0,MATCH($A13,Routing!$C$4:$K$4,0)))/60</f>
        <v>3493.95833333333</v>
      </c>
      <c r="G13" s="29" t="n">
        <f aca="false">SUMPRODUCT(Demand_Plan!G$24:G$38,INDEX(Routing!$C$6:$K$20,0,MATCH($A13,Routing!$C$4:$K$4,0)))/60</f>
        <v>3469.625</v>
      </c>
      <c r="H13" s="29" t="n">
        <f aca="false">SUMPRODUCT(Demand_Plan!H$24:H$38,INDEX(Routing!$C$6:$K$20,0,MATCH($A13,Routing!$C$4:$K$4,0)))/60</f>
        <v>3792.41666666667</v>
      </c>
      <c r="I13" s="29" t="n">
        <f aca="false">SUMPRODUCT(Demand_Plan!I$24:I$38,INDEX(Routing!$C$6:$K$20,0,MATCH($A13,Routing!$C$4:$K$4,0)))/60</f>
        <v>4667.625</v>
      </c>
      <c r="J13" s="29" t="n">
        <f aca="false">SUMPRODUCT(Demand_Plan!J$24:J$38,INDEX(Routing!$C$6:$K$20,0,MATCH($A13,Routing!$C$4:$K$4,0)))/60</f>
        <v>5014.91666666667</v>
      </c>
      <c r="K13" s="29" t="n">
        <f aca="false">SUMPRODUCT(Demand_Plan!K$24:K$38,INDEX(Routing!$C$6:$K$20,0,MATCH($A13,Routing!$C$4:$K$4,0)))/60</f>
        <v>4752.29166666667</v>
      </c>
      <c r="L13" s="29" t="n">
        <f aca="false">SUMPRODUCT(Demand_Plan!L$24:L$38,INDEX(Routing!$C$6:$K$20,0,MATCH($A13,Routing!$C$4:$K$4,0)))/60</f>
        <v>3998.95833333333</v>
      </c>
      <c r="M13" s="29" t="n">
        <f aca="false">SUMPRODUCT(Demand_Plan!M$24:M$38,INDEX(Routing!$C$6:$K$20,0,MATCH($A13,Routing!$C$4:$K$4,0)))/60</f>
        <v>3200.375</v>
      </c>
      <c r="N13" s="29" t="n">
        <f aca="false">SUMPRODUCT(Demand_Plan!N$24:N$38,INDEX(Routing!$C$6:$K$20,0,MATCH($A13,Routing!$C$4:$K$4,0)))/60</f>
        <v>2999.33333333333</v>
      </c>
      <c r="O13" s="29" t="n">
        <f aca="false">SUMPRODUCT(Demand_Plan!O$24:O$38,INDEX(Routing!$C$6:$K$20,0,MATCH($A13,Routing!$C$4:$K$4,0)))/60</f>
        <v>3471.625</v>
      </c>
      <c r="P13" s="29" t="n">
        <f aca="false">SUMPRODUCT(Demand_Plan!P$24:P$38,INDEX(Routing!$C$6:$K$20,0,MATCH($A13,Routing!$C$4:$K$4,0)))/60</f>
        <v>4046.41666666667</v>
      </c>
      <c r="Q13" s="29" t="n">
        <f aca="false">AVERAGE(E13:P13)</f>
        <v>3880.46875</v>
      </c>
      <c r="R13" s="29" t="n">
        <f aca="false">MAX(E13:P13)</f>
        <v>5014.91666666667</v>
      </c>
    </row>
    <row r="14" customFormat="false" ht="15" hidden="false" customHeight="false" outlineLevel="0" collapsed="false">
      <c r="A14" s="46" t="s">
        <v>692</v>
      </c>
      <c r="B14" s="82" t="s">
        <v>714</v>
      </c>
      <c r="C14" s="49" t="n">
        <f aca="false">SUM(C5:C13)</f>
        <v>184</v>
      </c>
      <c r="D14" s="49" t="n">
        <f aca="false">SUM(D5:D13)</f>
        <v>66499.68</v>
      </c>
      <c r="E14" s="49" t="n">
        <f aca="false">SUM(E5:E13)</f>
        <v>41722.8333333333</v>
      </c>
      <c r="F14" s="49" t="n">
        <f aca="false">SUM(F5:F13)</f>
        <v>38881.2333333333</v>
      </c>
      <c r="G14" s="49" t="n">
        <f aca="false">SUM(G5:G13)</f>
        <v>38509.375</v>
      </c>
      <c r="H14" s="49" t="n">
        <f aca="false">SUM(H5:H13)</f>
        <v>43548.6666666667</v>
      </c>
      <c r="I14" s="49" t="n">
        <f aca="false">SUM(I5:I13)</f>
        <v>54665.4833333333</v>
      </c>
      <c r="J14" s="49" t="n">
        <f aca="false">SUM(J5:J13)</f>
        <v>59215.2583333333</v>
      </c>
      <c r="K14" s="49" t="n">
        <f aca="false">SUM(K5:K13)</f>
        <v>56336.2</v>
      </c>
      <c r="L14" s="49" t="n">
        <f aca="false">SUM(L5:L13)</f>
        <v>47474.7</v>
      </c>
      <c r="M14" s="49" t="n">
        <f aca="false">SUM(M5:M13)</f>
        <v>37521.7166666667</v>
      </c>
      <c r="N14" s="49" t="n">
        <f aca="false">SUM(N5:N13)</f>
        <v>35152.3083333333</v>
      </c>
      <c r="O14" s="49" t="n">
        <f aca="false">SUM(O5:O13)</f>
        <v>40776.4</v>
      </c>
      <c r="P14" s="49" t="n">
        <f aca="false">SUM(P5:P13)</f>
        <v>46926.1833333333</v>
      </c>
      <c r="Q14" s="49" t="n">
        <f aca="false">SUM(Q5:Q13)</f>
        <v>45060.8631944444</v>
      </c>
      <c r="R14" s="47"/>
    </row>
    <row r="16" customFormat="false" ht="19.5" hidden="false" customHeight="true" outlineLevel="0" collapsed="false">
      <c r="A16" s="3" t="s">
        <v>715</v>
      </c>
      <c r="B16" s="4"/>
      <c r="C16" s="4"/>
      <c r="D16" s="4"/>
      <c r="E16" s="4"/>
      <c r="F16" s="4"/>
      <c r="G16" s="4"/>
      <c r="H16" s="4"/>
      <c r="I16" s="4"/>
      <c r="J16" s="4"/>
      <c r="K16" s="4"/>
      <c r="L16" s="4"/>
      <c r="M16" s="4"/>
      <c r="N16" s="4"/>
      <c r="O16" s="4"/>
      <c r="P16" s="4"/>
      <c r="Q16" s="4"/>
      <c r="R16" s="4"/>
      <c r="S16" s="4"/>
      <c r="T16" s="4"/>
      <c r="U16" s="4"/>
      <c r="V16" s="4"/>
      <c r="W16" s="4"/>
      <c r="X16" s="4"/>
      <c r="Y16" s="4"/>
    </row>
    <row r="17" customFormat="false" ht="48" hidden="false" customHeight="true" outlineLevel="0" collapsed="false">
      <c r="A17" s="8" t="s">
        <v>584</v>
      </c>
      <c r="B17" s="8" t="s">
        <v>100</v>
      </c>
      <c r="C17" s="8" t="s">
        <v>710</v>
      </c>
      <c r="D17" s="8" t="s">
        <v>711</v>
      </c>
      <c r="E17" s="25" t="n">
        <f aca="false">E$4</f>
        <v>46327</v>
      </c>
      <c r="F17" s="25" t="n">
        <f aca="false">F$4</f>
        <v>46357</v>
      </c>
      <c r="G17" s="25" t="n">
        <f aca="false">G$4</f>
        <v>46388</v>
      </c>
      <c r="H17" s="25" t="n">
        <f aca="false">H$4</f>
        <v>46419</v>
      </c>
      <c r="I17" s="25" t="n">
        <f aca="false">I$4</f>
        <v>46447</v>
      </c>
      <c r="J17" s="25" t="n">
        <f aca="false">J$4</f>
        <v>46478</v>
      </c>
      <c r="K17" s="25" t="n">
        <f aca="false">K$4</f>
        <v>46508</v>
      </c>
      <c r="L17" s="25" t="n">
        <f aca="false">L$4</f>
        <v>46539</v>
      </c>
      <c r="M17" s="25" t="n">
        <f aca="false">M$4</f>
        <v>46569</v>
      </c>
      <c r="N17" s="25" t="n">
        <f aca="false">N$4</f>
        <v>46600</v>
      </c>
      <c r="O17" s="25" t="n">
        <f aca="false">O$4</f>
        <v>46631</v>
      </c>
      <c r="P17" s="25" t="n">
        <f aca="false">P$4</f>
        <v>46661</v>
      </c>
      <c r="Q17" s="8" t="s">
        <v>716</v>
      </c>
      <c r="R17" s="8" t="s">
        <v>717</v>
      </c>
      <c r="S17" s="8" t="s">
        <v>113</v>
      </c>
      <c r="T17" s="8" t="s">
        <v>718</v>
      </c>
      <c r="U17" s="8" t="s">
        <v>719</v>
      </c>
      <c r="V17" s="8" t="s">
        <v>720</v>
      </c>
      <c r="W17" s="8" t="s">
        <v>721</v>
      </c>
      <c r="X17" s="8" t="s">
        <v>722</v>
      </c>
      <c r="Y17" s="8" t="s">
        <v>723</v>
      </c>
    </row>
    <row r="18" customFormat="false" ht="15" hidden="false" customHeight="false" outlineLevel="0" collapsed="false">
      <c r="A18" s="6" t="str">
        <f aca="false">A5</f>
        <v>WC01</v>
      </c>
      <c r="B18" s="7" t="str">
        <f aca="false">B5</f>
        <v>Press Shop</v>
      </c>
      <c r="C18" s="29" t="n">
        <f aca="false">C5</f>
        <v>21</v>
      </c>
      <c r="D18" s="29" t="n">
        <f aca="false">D5</f>
        <v>6988.8</v>
      </c>
      <c r="E18" s="26" t="n">
        <f aca="false">IF($D18=0,0,E5/$D18)</f>
        <v>0.620297237484737</v>
      </c>
      <c r="F18" s="26" t="n">
        <f aca="false">IF($D18=0,0,F5/$D18)</f>
        <v>0.569055727258852</v>
      </c>
      <c r="G18" s="26" t="n">
        <f aca="false">IF($D18=0,0,G5/$D18)</f>
        <v>0.568434495192308</v>
      </c>
      <c r="H18" s="26" t="n">
        <f aca="false">IF($D18=0,0,H5/$D18)</f>
        <v>0.676912822420635</v>
      </c>
      <c r="I18" s="26" t="n">
        <f aca="false">IF($D18=0,0,I5/$D18)</f>
        <v>0.879996088980464</v>
      </c>
      <c r="J18" s="26" t="n">
        <f aca="false">IF($D18=0,0,J5/$D18)</f>
        <v>0.967387105082418</v>
      </c>
      <c r="K18" s="26" t="n">
        <f aca="false">IF($D18=0,0,K5/$D18)</f>
        <v>0.922867063492064</v>
      </c>
      <c r="L18" s="26" t="n">
        <f aca="false">IF($D18=0,0,L5/$D18)</f>
        <v>0.775469322344322</v>
      </c>
      <c r="M18" s="26" t="n">
        <f aca="false">IF($D18=0,0,M5/$D18)</f>
        <v>0.595722203144078</v>
      </c>
      <c r="N18" s="26" t="n">
        <f aca="false">IF($D18=0,0,N5/$D18)</f>
        <v>0.555183531746032</v>
      </c>
      <c r="O18" s="26" t="n">
        <f aca="false">IF($D18=0,0,O5/$D18)</f>
        <v>0.655350942460317</v>
      </c>
      <c r="P18" s="26" t="n">
        <f aca="false">IF($D18=0,0,P5/$D18)</f>
        <v>0.739350818452381</v>
      </c>
      <c r="Q18" s="26" t="n">
        <f aca="false">AVERAGE(E18:P18)</f>
        <v>0.710502279838217</v>
      </c>
      <c r="R18" s="83" t="n">
        <f aca="false">MAX(E18:P18)</f>
        <v>0.967387105082418</v>
      </c>
      <c r="S18" s="80" t="n">
        <f aca="false">INDEX($E$17:$P$17,MATCH(R18,E18:P18,0))</f>
        <v>46478</v>
      </c>
      <c r="T18" s="53" t="n">
        <f aca="false">COUNTIF(E18:P18,"&gt;"&amp;Assumptions!$B$19)</f>
        <v>0</v>
      </c>
      <c r="U18" s="53" t="n">
        <f aca="false">COUNTIF(E18:P18,"&gt;="&amp;Assumptions!$B$18)</f>
        <v>3</v>
      </c>
      <c r="V18" s="84" t="str">
        <f aca="false">IF(R18&gt;Assumptions!$B$19,"OVERLOAD IN PEAK",IF(R18&gt;=Assumptions!$B$18,"TIGHT AT PEAK",IF(Q18&lt;0.5,"UNDER-USED","HEALTHY")))</f>
        <v>TIGHT AT PEAK</v>
      </c>
      <c r="W18" s="29" t="n">
        <f aca="false">MAX(0,R5-D18)</f>
        <v>0</v>
      </c>
      <c r="X18" s="53" t="n">
        <f aca="false">IF(W18=0,0,ROUNDUP(W18/(D18/C18),0))</f>
        <v>0</v>
      </c>
      <c r="Y18" s="7" t="str">
        <f aca="false">IF(T18&gt;0,"Over capacity in "&amp;T18&amp;" month(s): add a shift / overtime or pre-build","Fits capacity all year")</f>
        <v>Fits capacity all year</v>
      </c>
    </row>
    <row r="19" customFormat="false" ht="15" hidden="false" customHeight="false" outlineLevel="0" collapsed="false">
      <c r="A19" s="6" t="str">
        <f aca="false">A6</f>
        <v>WC02</v>
      </c>
      <c r="B19" s="7" t="str">
        <f aca="false">B6</f>
        <v>Aluminium Die-Casting &amp; Machining</v>
      </c>
      <c r="C19" s="29" t="n">
        <f aca="false">C6</f>
        <v>7</v>
      </c>
      <c r="D19" s="29" t="n">
        <f aca="false">D6</f>
        <v>3276</v>
      </c>
      <c r="E19" s="26" t="n">
        <f aca="false">IF($D19=0,0,E6/$D19)</f>
        <v>0.693760175010175</v>
      </c>
      <c r="F19" s="26" t="n">
        <f aca="false">IF($D19=0,0,F6/$D19)</f>
        <v>0.612772181522182</v>
      </c>
      <c r="G19" s="26" t="n">
        <f aca="false">IF($D19=0,0,G6/$D19)</f>
        <v>0.601689051689052</v>
      </c>
      <c r="H19" s="26" t="n">
        <f aca="false">IF($D19=0,0,H6/$D19)</f>
        <v>0.717890211640212</v>
      </c>
      <c r="I19" s="26" t="n">
        <f aca="false">IF($D19=0,0,I6/$D19)</f>
        <v>0.91447903947904</v>
      </c>
      <c r="J19" s="26" t="n">
        <f aca="false">IF($D19=0,0,J6/$D19)</f>
        <v>0.988532763532764</v>
      </c>
      <c r="K19" s="26" t="n">
        <f aca="false">IF($D19=0,0,K6/$D19)</f>
        <v>0.948911273911274</v>
      </c>
      <c r="L19" s="26" t="n">
        <f aca="false">IF($D19=0,0,L6/$D19)</f>
        <v>0.822585978835979</v>
      </c>
      <c r="M19" s="26" t="n">
        <f aca="false">IF($D19=0,0,M6/$D19)</f>
        <v>0.661383292633293</v>
      </c>
      <c r="N19" s="26" t="n">
        <f aca="false">IF($D19=0,0,N6/$D19)</f>
        <v>0.628617216117216</v>
      </c>
      <c r="O19" s="26" t="n">
        <f aca="false">IF($D19=0,0,O6/$D19)</f>
        <v>0.717554436304436</v>
      </c>
      <c r="P19" s="26" t="n">
        <f aca="false">IF($D19=0,0,P6/$D19)</f>
        <v>0.801129426129426</v>
      </c>
      <c r="Q19" s="26" t="n">
        <f aca="false">AVERAGE(E19:P19)</f>
        <v>0.759108753900421</v>
      </c>
      <c r="R19" s="83" t="n">
        <f aca="false">MAX(E19:P19)</f>
        <v>0.988532763532764</v>
      </c>
      <c r="S19" s="80" t="n">
        <f aca="false">INDEX($E$17:$P$17,MATCH(R19,E19:P19,0))</f>
        <v>46478</v>
      </c>
      <c r="T19" s="53" t="n">
        <f aca="false">COUNTIF(E19:P19,"&gt;"&amp;Assumptions!$B$19)</f>
        <v>0</v>
      </c>
      <c r="U19" s="53" t="n">
        <f aca="false">COUNTIF(E19:P19,"&gt;="&amp;Assumptions!$B$18)</f>
        <v>3</v>
      </c>
      <c r="V19" s="84" t="str">
        <f aca="false">IF(R19&gt;Assumptions!$B$19,"OVERLOAD IN PEAK",IF(R19&gt;=Assumptions!$B$18,"TIGHT AT PEAK",IF(Q19&lt;0.5,"UNDER-USED","HEALTHY")))</f>
        <v>TIGHT AT PEAK</v>
      </c>
      <c r="W19" s="29" t="n">
        <f aca="false">MAX(0,R6-D19)</f>
        <v>0</v>
      </c>
      <c r="X19" s="53" t="n">
        <f aca="false">IF(W19=0,0,ROUNDUP(W19/(D19/C19),0))</f>
        <v>0</v>
      </c>
      <c r="Y19" s="7" t="str">
        <f aca="false">IF(T19&gt;0,"Over capacity in "&amp;T19&amp;" month(s): add a shift / overtime or pre-build","Fits capacity all year")</f>
        <v>Fits capacity all year</v>
      </c>
    </row>
    <row r="20" customFormat="false" ht="15" hidden="false" customHeight="false" outlineLevel="0" collapsed="false">
      <c r="A20" s="6" t="str">
        <f aca="false">A7</f>
        <v>WC03</v>
      </c>
      <c r="B20" s="7" t="str">
        <f aca="false">B7</f>
        <v>Injection Moulding</v>
      </c>
      <c r="C20" s="29" t="n">
        <f aca="false">C7</f>
        <v>8</v>
      </c>
      <c r="D20" s="29" t="n">
        <f aca="false">D7</f>
        <v>3993.6</v>
      </c>
      <c r="E20" s="26" t="n">
        <f aca="false">IF($D20=0,0,E7/$D20)</f>
        <v>0.72080328525641</v>
      </c>
      <c r="F20" s="26" t="n">
        <f aca="false">IF($D20=0,0,F7/$D20)</f>
        <v>0.690402560763889</v>
      </c>
      <c r="G20" s="26" t="n">
        <f aca="false">IF($D20=0,0,G7/$D20)</f>
        <v>0.672997629540598</v>
      </c>
      <c r="H20" s="26" t="n">
        <f aca="false">IF($D20=0,0,H7/$D20)</f>
        <v>0.718011318108974</v>
      </c>
      <c r="I20" s="26" t="n">
        <f aca="false">IF($D20=0,0,I7/$D20)</f>
        <v>0.92942875267094</v>
      </c>
      <c r="J20" s="26" t="n">
        <f aca="false">IF($D20=0,0,J7/$D20)</f>
        <v>1.01587122729701</v>
      </c>
      <c r="K20" s="26" t="n">
        <f aca="false">IF($D20=0,0,K7/$D20)</f>
        <v>0.951413928952991</v>
      </c>
      <c r="L20" s="26" t="n">
        <f aca="false">IF($D20=0,0,L7/$D20)</f>
        <v>0.757432725694444</v>
      </c>
      <c r="M20" s="26" t="n">
        <f aca="false">IF($D20=0,0,M7/$D20)</f>
        <v>0.607096354166667</v>
      </c>
      <c r="N20" s="26" t="n">
        <f aca="false">IF($D20=0,0,N7/$D20)</f>
        <v>0.550176115117521</v>
      </c>
      <c r="O20" s="26" t="n">
        <f aca="false">IF($D20=0,0,O7/$D20)</f>
        <v>0.603354951255342</v>
      </c>
      <c r="P20" s="26" t="n">
        <f aca="false">IF($D20=0,0,P7/$D20)</f>
        <v>0.709067841880342</v>
      </c>
      <c r="Q20" s="26" t="n">
        <f aca="false">AVERAGE(E20:P20)</f>
        <v>0.743838057558761</v>
      </c>
      <c r="R20" s="83" t="n">
        <f aca="false">MAX(E20:P20)</f>
        <v>1.01587122729701</v>
      </c>
      <c r="S20" s="80" t="n">
        <f aca="false">INDEX($E$17:$P$17,MATCH(R20,E20:P20,0))</f>
        <v>46478</v>
      </c>
      <c r="T20" s="53" t="n">
        <f aca="false">COUNTIF(E20:P20,"&gt;"&amp;Assumptions!$B$19)</f>
        <v>1</v>
      </c>
      <c r="U20" s="53" t="n">
        <f aca="false">COUNTIF(E20:P20,"&gt;="&amp;Assumptions!$B$18)</f>
        <v>3</v>
      </c>
      <c r="V20" s="84" t="str">
        <f aca="false">IF(R20&gt;Assumptions!$B$19,"OVERLOAD IN PEAK",IF(R20&gt;=Assumptions!$B$18,"TIGHT AT PEAK",IF(Q20&lt;0.5,"UNDER-USED","HEALTHY")))</f>
        <v>OVERLOAD IN PEAK</v>
      </c>
      <c r="W20" s="29" t="n">
        <f aca="false">MAX(0,R7-D20)</f>
        <v>63.3833333333328</v>
      </c>
      <c r="X20" s="53" t="n">
        <f aca="false">IF(W20=0,0,ROUNDUP(W20/(D20/C20),0))</f>
        <v>1</v>
      </c>
      <c r="Y20" s="7" t="str">
        <f aca="false">IF(T20&gt;0,"Over capacity in "&amp;T20&amp;" month(s): add a shift / overtime or pre-build","Fits capacity all year")</f>
        <v>Over capacity in 1 month(s): add a shift / overtime or pre-build</v>
      </c>
    </row>
    <row r="21" customFormat="false" ht="15" hidden="false" customHeight="false" outlineLevel="0" collapsed="false">
      <c r="A21" s="6" t="str">
        <f aca="false">A8</f>
        <v>WC04</v>
      </c>
      <c r="B21" s="7" t="str">
        <f aca="false">B8</f>
        <v>Winding &amp; Motor / Element Sub-Assembly</v>
      </c>
      <c r="C21" s="29" t="n">
        <f aca="false">C8</f>
        <v>33</v>
      </c>
      <c r="D21" s="29" t="n">
        <f aca="false">D8</f>
        <v>11256.96</v>
      </c>
      <c r="E21" s="26" t="n">
        <f aca="false">IF($D21=0,0,E8/$D21)</f>
        <v>0.666800065618663</v>
      </c>
      <c r="F21" s="26" t="n">
        <f aca="false">IF($D21=0,0,F8/$D21)</f>
        <v>0.631715845130479</v>
      </c>
      <c r="G21" s="26" t="n">
        <f aca="false">IF($D21=0,0,G8/$D21)</f>
        <v>0.63028191743893</v>
      </c>
      <c r="H21" s="26" t="n">
        <f aca="false">IF($D21=0,0,H8/$D21)</f>
        <v>0.696409154869521</v>
      </c>
      <c r="I21" s="26" t="n">
        <f aca="false">IF($D21=0,0,I8/$D21)</f>
        <v>0.845160830869672</v>
      </c>
      <c r="J21" s="26" t="n">
        <f aca="false">IF($D21=0,0,J8/$D21)</f>
        <v>0.906454021926583</v>
      </c>
      <c r="K21" s="26" t="n">
        <f aca="false">IF($D21=0,0,K8/$D21)</f>
        <v>0.863792267184036</v>
      </c>
      <c r="L21" s="26" t="n">
        <f aca="false">IF($D21=0,0,L8/$D21)</f>
        <v>0.736021684954612</v>
      </c>
      <c r="M21" s="26" t="n">
        <f aca="false">IF($D21=0,0,M8/$D21)</f>
        <v>0.582485561525196</v>
      </c>
      <c r="N21" s="26" t="n">
        <f aca="false">IF($D21=0,0,N8/$D21)</f>
        <v>0.548535454213808</v>
      </c>
      <c r="O21" s="26" t="n">
        <f aca="false">IF($D21=0,0,O8/$D21)</f>
        <v>0.64124624528588</v>
      </c>
      <c r="P21" s="26" t="n">
        <f aca="false">IF($D21=0,0,P8/$D21)</f>
        <v>0.749341592519946</v>
      </c>
      <c r="Q21" s="26" t="n">
        <f aca="false">AVERAGE(E21:P21)</f>
        <v>0.708187053461444</v>
      </c>
      <c r="R21" s="83" t="n">
        <f aca="false">MAX(E21:P21)</f>
        <v>0.906454021926583</v>
      </c>
      <c r="S21" s="80" t="n">
        <f aca="false">INDEX($E$17:$P$17,MATCH(R21,E21:P21,0))</f>
        <v>46478</v>
      </c>
      <c r="T21" s="53" t="n">
        <f aca="false">COUNTIF(E21:P21,"&gt;"&amp;Assumptions!$B$19)</f>
        <v>0</v>
      </c>
      <c r="U21" s="53" t="n">
        <f aca="false">COUNTIF(E21:P21,"&gt;="&amp;Assumptions!$B$18)</f>
        <v>2</v>
      </c>
      <c r="V21" s="84" t="str">
        <f aca="false">IF(R21&gt;Assumptions!$B$19,"OVERLOAD IN PEAK",IF(R21&gt;=Assumptions!$B$18,"TIGHT AT PEAK",IF(Q21&lt;0.5,"UNDER-USED","HEALTHY")))</f>
        <v>TIGHT AT PEAK</v>
      </c>
      <c r="W21" s="29" t="n">
        <f aca="false">MAX(0,R8-D21)</f>
        <v>0</v>
      </c>
      <c r="X21" s="53" t="n">
        <f aca="false">IF(W21=0,0,ROUNDUP(W21/(D21/C21),0))</f>
        <v>0</v>
      </c>
      <c r="Y21" s="7" t="str">
        <f aca="false">IF(T21&gt;0,"Over capacity in "&amp;T21&amp;" month(s): add a shift / overtime or pre-build","Fits capacity all year")</f>
        <v>Fits capacity all year</v>
      </c>
    </row>
    <row r="22" customFormat="false" ht="15" hidden="false" customHeight="false" outlineLevel="0" collapsed="false">
      <c r="A22" s="6" t="str">
        <f aca="false">A9</f>
        <v>WC05</v>
      </c>
      <c r="B22" s="7" t="str">
        <f aca="false">B9</f>
        <v>Powder-Coating Line</v>
      </c>
      <c r="C22" s="29" t="n">
        <f aca="false">C9</f>
        <v>1</v>
      </c>
      <c r="D22" s="29" t="n">
        <f aca="false">D9</f>
        <v>486.72</v>
      </c>
      <c r="E22" s="26" t="n">
        <f aca="false">IF($D22=0,0,E9/$D22)</f>
        <v>0.479468003506465</v>
      </c>
      <c r="F22" s="26" t="n">
        <f aca="false">IF($D22=0,0,F9/$D22)</f>
        <v>0.444831388341004</v>
      </c>
      <c r="G22" s="26" t="n">
        <f aca="false">IF($D22=0,0,G9/$D22)</f>
        <v>0.467140587332895</v>
      </c>
      <c r="H22" s="26" t="n">
        <f aca="false">IF($D22=0,0,H9/$D22)</f>
        <v>0.600242439184747</v>
      </c>
      <c r="I22" s="26" t="n">
        <f aca="false">IF($D22=0,0,I9/$D22)</f>
        <v>0.861960333114179</v>
      </c>
      <c r="J22" s="26" t="n">
        <f aca="false">IF($D22=0,0,J9/$D22)</f>
        <v>0.989891518737673</v>
      </c>
      <c r="K22" s="26" t="n">
        <f aca="false">IF($D22=0,0,K9/$D22)</f>
        <v>0.94126671049748</v>
      </c>
      <c r="L22" s="26" t="n">
        <f aca="false">IF($D22=0,0,L9/$D22)</f>
        <v>0.766731043173351</v>
      </c>
      <c r="M22" s="26" t="n">
        <f aca="false">IF($D22=0,0,M9/$D22)</f>
        <v>0.544803309226386</v>
      </c>
      <c r="N22" s="26" t="n">
        <f aca="false">IF($D22=0,0,N9/$D22)</f>
        <v>0.487686280955512</v>
      </c>
      <c r="O22" s="26" t="n">
        <f aca="false">IF($D22=0,0,O9/$D22)</f>
        <v>0.598547419460881</v>
      </c>
      <c r="P22" s="26" t="n">
        <f aca="false">IF($D22=0,0,P9/$D22)</f>
        <v>0.630513094455402</v>
      </c>
      <c r="Q22" s="26" t="n">
        <f aca="false">AVERAGE(E22:P22)</f>
        <v>0.651090177332165</v>
      </c>
      <c r="R22" s="83" t="n">
        <f aca="false">MAX(E22:P22)</f>
        <v>0.989891518737673</v>
      </c>
      <c r="S22" s="80" t="n">
        <f aca="false">INDEX($E$17:$P$17,MATCH(R22,E22:P22,0))</f>
        <v>46478</v>
      </c>
      <c r="T22" s="53" t="n">
        <f aca="false">COUNTIF(E22:P22,"&gt;"&amp;Assumptions!$B$19)</f>
        <v>0</v>
      </c>
      <c r="U22" s="53" t="n">
        <f aca="false">COUNTIF(E22:P22,"&gt;="&amp;Assumptions!$B$18)</f>
        <v>3</v>
      </c>
      <c r="V22" s="84" t="str">
        <f aca="false">IF(R22&gt;Assumptions!$B$19,"OVERLOAD IN PEAK",IF(R22&gt;=Assumptions!$B$18,"TIGHT AT PEAK",IF(Q22&lt;0.5,"UNDER-USED","HEALTHY")))</f>
        <v>TIGHT AT PEAK</v>
      </c>
      <c r="W22" s="29" t="n">
        <f aca="false">MAX(0,R9-D22)</f>
        <v>0</v>
      </c>
      <c r="X22" s="53" t="n">
        <f aca="false">IF(W22=0,0,ROUNDUP(W22/(D22/C22),0))</f>
        <v>0</v>
      </c>
      <c r="Y22" s="7" t="str">
        <f aca="false">IF(T22&gt;0,"Over capacity in "&amp;T22&amp;" month(s): add a shift / overtime or pre-build","Fits capacity all year")</f>
        <v>Fits capacity all year</v>
      </c>
    </row>
    <row r="23" customFormat="false" ht="15" hidden="false" customHeight="false" outlineLevel="0" collapsed="false">
      <c r="A23" s="6" t="str">
        <f aca="false">A10</f>
        <v>WC06</v>
      </c>
      <c r="B23" s="7" t="str">
        <f aca="false">B10</f>
        <v>FA-1 Final Assembly: Fans &amp; Coolers</v>
      </c>
      <c r="C23" s="29" t="n">
        <f aca="false">C10</f>
        <v>55</v>
      </c>
      <c r="D23" s="29" t="n">
        <f aca="false">D10</f>
        <v>19448</v>
      </c>
      <c r="E23" s="26" t="n">
        <f aca="false">IF($D23=0,0,E10/$D23)</f>
        <v>0.353014020293432</v>
      </c>
      <c r="F23" s="26" t="n">
        <f aca="false">IF($D23=0,0,F10/$D23)</f>
        <v>0.298745372274784</v>
      </c>
      <c r="G23" s="26" t="n">
        <f aca="false">IF($D23=0,0,G10/$D23)</f>
        <v>0.322055395584807</v>
      </c>
      <c r="H23" s="26" t="n">
        <f aca="false">IF($D23=0,0,H10/$D23)</f>
        <v>0.526810811737282</v>
      </c>
      <c r="I23" s="26" t="n">
        <f aca="false">IF($D23=0,0,I10/$D23)</f>
        <v>0.910719182778006</v>
      </c>
      <c r="J23" s="26" t="n">
        <f aca="false">IF($D23=0,0,J10/$D23)</f>
        <v>1.0877296722885</v>
      </c>
      <c r="K23" s="26" t="n">
        <f aca="false">IF($D23=0,0,K10/$D23)</f>
        <v>1.02486973810503</v>
      </c>
      <c r="L23" s="26" t="n">
        <f aca="false">IF($D23=0,0,L10/$D23)</f>
        <v>0.793547751268339</v>
      </c>
      <c r="M23" s="26" t="n">
        <f aca="false">IF($D23=0,0,M10/$D23)</f>
        <v>0.536837549705197</v>
      </c>
      <c r="N23" s="26" t="n">
        <f aca="false">IF($D23=0,0,N10/$D23)</f>
        <v>0.459473124914301</v>
      </c>
      <c r="O23" s="26" t="n">
        <f aca="false">IF($D23=0,0,O10/$D23)</f>
        <v>0.559783353901001</v>
      </c>
      <c r="P23" s="26" t="n">
        <f aca="false">IF($D23=0,0,P10/$D23)</f>
        <v>0.549156725627314</v>
      </c>
      <c r="Q23" s="26" t="n">
        <f aca="false">AVERAGE(E23:P23)</f>
        <v>0.618561891539833</v>
      </c>
      <c r="R23" s="83" t="n">
        <f aca="false">MAX(E23:P23)</f>
        <v>1.0877296722885</v>
      </c>
      <c r="S23" s="80" t="n">
        <f aca="false">INDEX($E$17:$P$17,MATCH(R23,E23:P23,0))</f>
        <v>46478</v>
      </c>
      <c r="T23" s="53" t="n">
        <f aca="false">COUNTIF(E23:P23,"&gt;"&amp;Assumptions!$B$19)</f>
        <v>2</v>
      </c>
      <c r="U23" s="53" t="n">
        <f aca="false">COUNTIF(E23:P23,"&gt;="&amp;Assumptions!$B$18)</f>
        <v>3</v>
      </c>
      <c r="V23" s="84" t="str">
        <f aca="false">IF(R23&gt;Assumptions!$B$19,"OVERLOAD IN PEAK",IF(R23&gt;=Assumptions!$B$18,"TIGHT AT PEAK",IF(Q23&lt;0.5,"UNDER-USED","HEALTHY")))</f>
        <v>OVERLOAD IN PEAK</v>
      </c>
      <c r="W23" s="29" t="n">
        <f aca="false">MAX(0,R10-D23)</f>
        <v>1706.16666666667</v>
      </c>
      <c r="X23" s="53" t="n">
        <f aca="false">IF(W23=0,0,ROUNDUP(W23/(D23/C23),0))</f>
        <v>5</v>
      </c>
      <c r="Y23" s="7" t="str">
        <f aca="false">IF(T23&gt;0,"Over capacity in "&amp;T23&amp;" month(s): add a shift / overtime or pre-build","Fits capacity all year")</f>
        <v>Over capacity in 2 month(s): add a shift / overtime or pre-build</v>
      </c>
    </row>
    <row r="24" customFormat="false" ht="15" hidden="false" customHeight="false" outlineLevel="0" collapsed="false">
      <c r="A24" s="6" t="str">
        <f aca="false">A11</f>
        <v>WC07</v>
      </c>
      <c r="B24" s="7" t="str">
        <f aca="false">B11</f>
        <v>FA-2 Final Assembly: Kitchen Appliances</v>
      </c>
      <c r="C24" s="29" t="n">
        <f aca="false">C11</f>
        <v>30</v>
      </c>
      <c r="D24" s="29" t="n">
        <f aca="false">D11</f>
        <v>10608</v>
      </c>
      <c r="E24" s="26" t="n">
        <f aca="false">IF($D24=0,0,E11/$D24)</f>
        <v>0.895471970839618</v>
      </c>
      <c r="F24" s="26" t="n">
        <f aca="false">IF($D24=0,0,F11/$D24)</f>
        <v>0.792130153343389</v>
      </c>
      <c r="G24" s="26" t="n">
        <f aca="false">IF($D24=0,0,G11/$D24)</f>
        <v>0.716283308195073</v>
      </c>
      <c r="H24" s="26" t="n">
        <f aca="false">IF($D24=0,0,H11/$D24)</f>
        <v>0.707956259426848</v>
      </c>
      <c r="I24" s="26" t="n">
        <f aca="false">IF($D24=0,0,I11/$D24)</f>
        <v>0.634741075917547</v>
      </c>
      <c r="J24" s="26" t="n">
        <f aca="false">IF($D24=0,0,J11/$D24)</f>
        <v>0.561997234791352</v>
      </c>
      <c r="K24" s="26" t="n">
        <f aca="false">IF($D24=0,0,K11/$D24)</f>
        <v>0.55649824032177</v>
      </c>
      <c r="L24" s="26" t="n">
        <f aca="false">IF($D24=0,0,L11/$D24)</f>
        <v>0.570088612368024</v>
      </c>
      <c r="M24" s="26" t="n">
        <f aca="false">IF($D24=0,0,M11/$D24)</f>
        <v>0.586821266968326</v>
      </c>
      <c r="N24" s="26" t="n">
        <f aca="false">IF($D24=0,0,N11/$D24)</f>
        <v>0.621622046254399</v>
      </c>
      <c r="O24" s="26" t="n">
        <f aca="false">IF($D24=0,0,O11/$D24)</f>
        <v>0.683250062845651</v>
      </c>
      <c r="P24" s="26" t="n">
        <f aca="false">IF($D24=0,0,P11/$D24)</f>
        <v>0.89358660130719</v>
      </c>
      <c r="Q24" s="26" t="n">
        <f aca="false">AVERAGE(E24:P24)</f>
        <v>0.685037236048265</v>
      </c>
      <c r="R24" s="83" t="n">
        <f aca="false">MAX(E24:P24)</f>
        <v>0.895471970839618</v>
      </c>
      <c r="S24" s="80" t="n">
        <f aca="false">INDEX($E$17:$P$17,MATCH(R24,E24:P24,0))</f>
        <v>46327</v>
      </c>
      <c r="T24" s="53" t="n">
        <f aca="false">COUNTIF(E24:P24,"&gt;"&amp;Assumptions!$B$19)</f>
        <v>0</v>
      </c>
      <c r="U24" s="53" t="n">
        <f aca="false">COUNTIF(E24:P24,"&gt;="&amp;Assumptions!$B$18)</f>
        <v>2</v>
      </c>
      <c r="V24" s="84" t="str">
        <f aca="false">IF(R24&gt;Assumptions!$B$19,"OVERLOAD IN PEAK",IF(R24&gt;=Assumptions!$B$18,"TIGHT AT PEAK",IF(Q24&lt;0.5,"UNDER-USED","HEALTHY")))</f>
        <v>TIGHT AT PEAK</v>
      </c>
      <c r="W24" s="29" t="n">
        <f aca="false">MAX(0,R11-D24)</f>
        <v>0</v>
      </c>
      <c r="X24" s="53" t="n">
        <f aca="false">IF(W24=0,0,ROUNDUP(W24/(D24/C24),0))</f>
        <v>0</v>
      </c>
      <c r="Y24" s="7" t="str">
        <f aca="false">IF(T24&gt;0,"Over capacity in "&amp;T24&amp;" month(s): add a shift / overtime or pre-build","Fits capacity all year")</f>
        <v>Fits capacity all year</v>
      </c>
    </row>
    <row r="25" customFormat="false" ht="15" hidden="false" customHeight="false" outlineLevel="0" collapsed="false">
      <c r="A25" s="6" t="str">
        <f aca="false">A12</f>
        <v>WC08</v>
      </c>
      <c r="B25" s="7" t="str">
        <f aca="false">B12</f>
        <v>FA-3 Final Assembly: Heating, Personal Care &amp; Pumps</v>
      </c>
      <c r="C25" s="29" t="n">
        <f aca="false">C12</f>
        <v>14</v>
      </c>
      <c r="D25" s="29" t="n">
        <f aca="false">D12</f>
        <v>4950.4</v>
      </c>
      <c r="E25" s="26" t="n">
        <f aca="false">IF($D25=0,0,E12/$D25)</f>
        <v>0.903799019607843</v>
      </c>
      <c r="F25" s="26" t="n">
        <f aca="false">IF($D25=0,0,F12/$D25)</f>
        <v>1.03122979961215</v>
      </c>
      <c r="G25" s="26" t="n">
        <f aca="false">IF($D25=0,0,G12/$D25)</f>
        <v>1.05530192846369</v>
      </c>
      <c r="H25" s="26" t="n">
        <f aca="false">IF($D25=0,0,H12/$D25)</f>
        <v>0.791686867054514</v>
      </c>
      <c r="I25" s="26" t="n">
        <f aca="false">IF($D25=0,0,I12/$D25)</f>
        <v>0.557867377720319</v>
      </c>
      <c r="J25" s="26" t="n">
        <f aca="false">IF($D25=0,0,J12/$D25)</f>
        <v>0.473194085326438</v>
      </c>
      <c r="K25" s="26" t="n">
        <f aca="false">IF($D25=0,0,K12/$D25)</f>
        <v>0.446260234863176</v>
      </c>
      <c r="L25" s="26" t="n">
        <f aca="false">IF($D25=0,0,L12/$D25)</f>
        <v>0.443903522947641</v>
      </c>
      <c r="M25" s="26" t="n">
        <f aca="false">IF($D25=0,0,M12/$D25)</f>
        <v>0.419999730661495</v>
      </c>
      <c r="N25" s="26" t="n">
        <f aca="false">IF($D25=0,0,N12/$D25)</f>
        <v>0.418989711269123</v>
      </c>
      <c r="O25" s="26" t="n">
        <f aca="false">IF($D25=0,0,O12/$D25)</f>
        <v>0.468648998060763</v>
      </c>
      <c r="P25" s="26" t="n">
        <f aca="false">IF($D25=0,0,P12/$D25)</f>
        <v>0.677723012281836</v>
      </c>
      <c r="Q25" s="26" t="n">
        <f aca="false">AVERAGE(E25:P25)</f>
        <v>0.640717023989083</v>
      </c>
      <c r="R25" s="83" t="n">
        <f aca="false">MAX(E25:P25)</f>
        <v>1.05530192846369</v>
      </c>
      <c r="S25" s="80" t="n">
        <f aca="false">INDEX($E$17:$P$17,MATCH(R25,E25:P25,0))</f>
        <v>46388</v>
      </c>
      <c r="T25" s="53" t="n">
        <f aca="false">COUNTIF(E25:P25,"&gt;"&amp;Assumptions!$B$19)</f>
        <v>2</v>
      </c>
      <c r="U25" s="53" t="n">
        <f aca="false">COUNTIF(E25:P25,"&gt;="&amp;Assumptions!$B$18)</f>
        <v>3</v>
      </c>
      <c r="V25" s="84" t="str">
        <f aca="false">IF(R25&gt;Assumptions!$B$19,"OVERLOAD IN PEAK",IF(R25&gt;=Assumptions!$B$18,"TIGHT AT PEAK",IF(Q25&lt;0.5,"UNDER-USED","HEALTHY")))</f>
        <v>OVERLOAD IN PEAK</v>
      </c>
      <c r="W25" s="29" t="n">
        <f aca="false">MAX(0,R12-D25)</f>
        <v>273.766666666667</v>
      </c>
      <c r="X25" s="53" t="n">
        <f aca="false">IF(W25=0,0,ROUNDUP(W25/(D25/C25),0))</f>
        <v>1</v>
      </c>
      <c r="Y25" s="7" t="str">
        <f aca="false">IF(T25&gt;0,"Over capacity in "&amp;T25&amp;" month(s): add a shift / overtime or pre-build","Fits capacity all year")</f>
        <v>Over capacity in 2 month(s): add a shift / overtime or pre-build</v>
      </c>
    </row>
    <row r="26" customFormat="false" ht="15" hidden="false" customHeight="false" outlineLevel="0" collapsed="false">
      <c r="A26" s="6" t="str">
        <f aca="false">A13</f>
        <v>WC09</v>
      </c>
      <c r="B26" s="7" t="str">
        <f aca="false">B13</f>
        <v>Packing &amp; Dispatch</v>
      </c>
      <c r="C26" s="29" t="n">
        <f aca="false">C13</f>
        <v>15</v>
      </c>
      <c r="D26" s="29" t="n">
        <f aca="false">D13</f>
        <v>5491.2</v>
      </c>
      <c r="E26" s="26" t="n">
        <f aca="false">IF($D26=0,0,E13/$D26)</f>
        <v>0.666171935703186</v>
      </c>
      <c r="F26" s="26" t="n">
        <f aca="false">IF($D26=0,0,F13/$D26)</f>
        <v>0.63628320464258</v>
      </c>
      <c r="G26" s="26" t="n">
        <f aca="false">IF($D26=0,0,G13/$D26)</f>
        <v>0.631851872086247</v>
      </c>
      <c r="H26" s="26" t="n">
        <f aca="false">IF($D26=0,0,H13/$D26)</f>
        <v>0.69063531954157</v>
      </c>
      <c r="I26" s="26" t="n">
        <f aca="false">IF($D26=0,0,I13/$D26)</f>
        <v>0.850019121503497</v>
      </c>
      <c r="J26" s="26" t="n">
        <f aca="false">IF($D26=0,0,J13/$D26)</f>
        <v>0.913264253108003</v>
      </c>
      <c r="K26" s="26" t="n">
        <f aca="false">IF($D26=0,0,K13/$D26)</f>
        <v>0.865437730672106</v>
      </c>
      <c r="L26" s="26" t="n">
        <f aca="false">IF($D26=0,0,L13/$D26)</f>
        <v>0.728248530982906</v>
      </c>
      <c r="M26" s="26" t="n">
        <f aca="false">IF($D26=0,0,M13/$D26)</f>
        <v>0.582818873834499</v>
      </c>
      <c r="N26" s="26" t="n">
        <f aca="false">IF($D26=0,0,N13/$D26)</f>
        <v>0.546207264957265</v>
      </c>
      <c r="O26" s="26" t="n">
        <f aca="false">IF($D26=0,0,O13/$D26)</f>
        <v>0.632216091200466</v>
      </c>
      <c r="P26" s="26" t="n">
        <f aca="false">IF($D26=0,0,P13/$D26)</f>
        <v>0.736891147047397</v>
      </c>
      <c r="Q26" s="26" t="n">
        <f aca="false">AVERAGE(E26:P26)</f>
        <v>0.706670445439977</v>
      </c>
      <c r="R26" s="83" t="n">
        <f aca="false">MAX(E26:P26)</f>
        <v>0.913264253108003</v>
      </c>
      <c r="S26" s="80" t="n">
        <f aca="false">INDEX($E$17:$P$17,MATCH(R26,E26:P26,0))</f>
        <v>46478</v>
      </c>
      <c r="T26" s="53" t="n">
        <f aca="false">COUNTIF(E26:P26,"&gt;"&amp;Assumptions!$B$19)</f>
        <v>0</v>
      </c>
      <c r="U26" s="53" t="n">
        <f aca="false">COUNTIF(E26:P26,"&gt;="&amp;Assumptions!$B$18)</f>
        <v>3</v>
      </c>
      <c r="V26" s="84" t="str">
        <f aca="false">IF(R26&gt;Assumptions!$B$19,"OVERLOAD IN PEAK",IF(R26&gt;=Assumptions!$B$18,"TIGHT AT PEAK",IF(Q26&lt;0.5,"UNDER-USED","HEALTHY")))</f>
        <v>TIGHT AT PEAK</v>
      </c>
      <c r="W26" s="29" t="n">
        <f aca="false">MAX(0,R13-D26)</f>
        <v>0</v>
      </c>
      <c r="X26" s="53" t="n">
        <f aca="false">IF(W26=0,0,ROUNDUP(W26/(D26/C26),0))</f>
        <v>0</v>
      </c>
      <c r="Y26" s="7" t="str">
        <f aca="false">IF(T26&gt;0,"Over capacity in "&amp;T26&amp;" month(s): add a shift / overtime or pre-build","Fits capacity all year")</f>
        <v>Fits capacity all year</v>
      </c>
    </row>
    <row r="28" customFormat="false" ht="15" hidden="false" customHeight="false" outlineLevel="0" collapsed="false">
      <c r="A28" s="28" t="s">
        <v>724</v>
      </c>
      <c r="E28" s="85" t="s">
        <v>725</v>
      </c>
      <c r="F28" s="85"/>
      <c r="G28" s="85"/>
      <c r="H28" s="86" t="s">
        <v>726</v>
      </c>
      <c r="I28" s="86"/>
      <c r="J28" s="86"/>
      <c r="K28" s="87" t="s">
        <v>727</v>
      </c>
      <c r="L28" s="87"/>
      <c r="M28" s="87"/>
      <c r="N28" s="88" t="s">
        <v>728</v>
      </c>
      <c r="O28" s="88"/>
      <c r="P28" s="88"/>
    </row>
    <row r="30" customFormat="false" ht="15" hidden="false" customHeight="false" outlineLevel="0" collapsed="false">
      <c r="A30" s="27" t="s">
        <v>729</v>
      </c>
    </row>
    <row r="31" customFormat="false" ht="15" hidden="false" customHeight="false" outlineLevel="0" collapsed="false">
      <c r="A31" s="27" t="s">
        <v>730</v>
      </c>
    </row>
  </sheetData>
  <mergeCells count="4">
    <mergeCell ref="E28:G28"/>
    <mergeCell ref="H28:J28"/>
    <mergeCell ref="K28:M28"/>
    <mergeCell ref="N28:P28"/>
  </mergeCells>
  <conditionalFormatting sqref="E18:P26">
    <cfRule type="cellIs" priority="2" operator="greaterThan" aboveAverage="0" equalAverage="0" bottom="0" percent="0" rank="0" text="" dxfId="1">
      <formula>Assumptions!$B$19</formula>
    </cfRule>
    <cfRule type="cellIs" priority="3" operator="greaterThanOrEqual" aboveAverage="0" equalAverage="0" bottom="0" percent="0" rank="0" text="" dxfId="2">
      <formula>Assumptions!$B$18</formula>
    </cfRule>
    <cfRule type="cellIs" priority="4" operator="lessThan" aboveAverage="0" equalAverage="0" bottom="0" percent="0" rank="0" text="" dxfId="3">
      <formula>0.5</formula>
    </cfRule>
    <cfRule type="cellIs" priority="5" operator="greaterThanOrEqual" aboveAverage="0" equalAverage="0" bottom="0" percent="0" rank="0" text="" dxfId="4">
      <formula>0.5</formula>
    </cfRule>
  </conditionalFormatting>
  <conditionalFormatting sqref="V18:V26">
    <cfRule type="expression" priority="6" aboveAverage="0" equalAverage="0" bottom="0" percent="0" rank="0" text="" dxfId="1">
      <formula>V18="OVERLOAD IN PEAK"</formula>
    </cfRule>
    <cfRule type="expression" priority="7" aboveAverage="0" equalAverage="0" bottom="0" percent="0" rank="0" text="" dxfId="12">
      <formula>V18="TIGHT AT PEAK"</formula>
    </cfRule>
    <cfRule type="expression" priority="8" aboveAverage="0" equalAverage="0" bottom="0" percent="0" rank="0" text="" dxfId="13">
      <formula>V18="UNDER-USED"</formula>
    </cfRule>
    <cfRule type="expression" priority="9" aboveAverage="0" equalAverage="0" bottom="0" percent="0" rank="0" text="" dxfId="14">
      <formula>V18="HEALTHY"</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V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8"/>
    <col collapsed="false" customWidth="true" hidden="false" outlineLevel="0" max="4" min="4" style="0" width="11"/>
    <col collapsed="false" customWidth="true" hidden="false" outlineLevel="0" max="6" min="5" style="0" width="12"/>
    <col collapsed="false" customWidth="true" hidden="false" outlineLevel="0" max="7" min="7" style="0" width="13"/>
    <col collapsed="false" customWidth="true" hidden="false" outlineLevel="0" max="8" min="8" style="0" width="15"/>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15"/>
    <col collapsed="false" customWidth="true" hidden="false" outlineLevel="0" max="17" min="16" style="0" width="14"/>
    <col collapsed="false" customWidth="true" hidden="false" outlineLevel="0" max="18" min="18" style="0" width="11"/>
    <col collapsed="false" customWidth="true" hidden="false" outlineLevel="0" max="19" min="19" style="0" width="14"/>
    <col collapsed="false" customWidth="true" hidden="false" outlineLevel="0" max="21" min="20" style="0" width="13"/>
    <col collapsed="false" customWidth="true" hidden="false" outlineLevel="0" max="22" min="22" style="0" width="14"/>
  </cols>
  <sheetData>
    <row r="1" customFormat="false" ht="24" hidden="false" customHeight="true" outlineLevel="0" collapsed="false">
      <c r="A1" s="34" t="s">
        <v>731</v>
      </c>
    </row>
    <row r="2" customFormat="false" ht="15" hidden="false" customHeight="false" outlineLevel="0" collapsed="false">
      <c r="A2" s="35" t="s">
        <v>732</v>
      </c>
    </row>
    <row r="4" customFormat="false" ht="61.5" hidden="false" customHeight="true" outlineLevel="0" collapsed="false">
      <c r="A4" s="8" t="s">
        <v>258</v>
      </c>
      <c r="B4" s="8" t="s">
        <v>259</v>
      </c>
      <c r="C4" s="8" t="s">
        <v>733</v>
      </c>
      <c r="D4" s="8" t="s">
        <v>470</v>
      </c>
      <c r="E4" s="8" t="s">
        <v>734</v>
      </c>
      <c r="F4" s="8" t="s">
        <v>735</v>
      </c>
      <c r="G4" s="8" t="s">
        <v>736</v>
      </c>
      <c r="H4" s="8" t="s">
        <v>737</v>
      </c>
      <c r="I4" s="8" t="s">
        <v>738</v>
      </c>
      <c r="J4" s="8" t="s">
        <v>739</v>
      </c>
      <c r="K4" s="8" t="s">
        <v>266</v>
      </c>
      <c r="L4" s="8" t="s">
        <v>740</v>
      </c>
      <c r="M4" s="8" t="s">
        <v>741</v>
      </c>
      <c r="N4" s="8" t="s">
        <v>742</v>
      </c>
      <c r="O4" s="8" t="s">
        <v>720</v>
      </c>
      <c r="P4" s="8" t="s">
        <v>743</v>
      </c>
      <c r="Q4" s="8" t="s">
        <v>744</v>
      </c>
      <c r="R4" s="8" t="s">
        <v>745</v>
      </c>
      <c r="S4" s="8" t="s">
        <v>746</v>
      </c>
      <c r="T4" s="8" t="s">
        <v>747</v>
      </c>
      <c r="U4" s="8" t="s">
        <v>365</v>
      </c>
      <c r="V4" s="8" t="s">
        <v>748</v>
      </c>
    </row>
    <row r="5" customFormat="false" ht="15" hidden="false" customHeight="false" outlineLevel="0" collapsed="false">
      <c r="A5" s="6" t="s">
        <v>277</v>
      </c>
      <c r="B5" s="43" t="str">
        <f aca="false">INDEX(RawMaterials!$B$2:$B$11,MATCH($A5,RawMaterials!$A$2:$A$11,0))</f>
        <v>CRNGO Electrical Steel Coil</v>
      </c>
      <c r="C5" s="84" t="str">
        <f aca="false">IF(V5&lt;=Assumptions!$B$13,"A",IF(V5&lt;=Assumptions!$B$14,"B","C"))</f>
        <v>A</v>
      </c>
      <c r="D5" s="44" t="n">
        <f aca="false">INDEX(RawMaterials!$G$2:$G$11,MATCH($A5,RawMaterials!$A$2:$A$11,0))</f>
        <v>93.4</v>
      </c>
      <c r="E5" s="39" t="n">
        <v>80500</v>
      </c>
      <c r="F5" s="39" t="n">
        <v>20000</v>
      </c>
      <c r="G5" s="29" t="n">
        <f aca="false">E5+F5</f>
        <v>100500</v>
      </c>
      <c r="H5" s="29" t="n">
        <f aca="false">SUM(INDEX(MRP!$D$5:$F$14,MATCH($A5,MRP!$A$5:$A$14,0),0))/(EDATE(Assumptions!$B$8,3)-Assumptions!$B$8)</f>
        <v>2595.62888198758</v>
      </c>
      <c r="I5" s="33" t="n">
        <f aca="false">IF(H5=0,0,E5/H5)</f>
        <v>31.01367863435</v>
      </c>
      <c r="J5" s="33" t="n">
        <f aca="false">IF(H5=0,0,G5/H5)</f>
        <v>38.7189404068594</v>
      </c>
      <c r="K5" s="44" t="n">
        <f aca="false">INDEX(RawMaterials!$J$2:$J$11,MATCH($A5,RawMaterials!$A$2:$A$11,0))</f>
        <v>16.8</v>
      </c>
      <c r="L5" s="45" t="n">
        <f aca="false">INDEX(RawMaterials!$M$2:$M$11,MATCH($A5,RawMaterials!$A$2:$A$11,0))</f>
        <v>7</v>
      </c>
      <c r="M5" s="29" t="n">
        <f aca="false">L5*H5</f>
        <v>18169.402173913</v>
      </c>
      <c r="N5" s="29" t="n">
        <f aca="false">H5*K5+M5</f>
        <v>61775.9673913044</v>
      </c>
      <c r="O5" s="84" t="str">
        <f aca="false">IF(G5&lt;=N5,"REORDER NOW",IF(G5&lt;=N5*(1+Assumptions!$B$12),"WATCH","OK"))</f>
        <v>OK</v>
      </c>
      <c r="P5" s="29" t="n">
        <f aca="false">N5+Assumptions!$B$11*H5</f>
        <v>139644.833850932</v>
      </c>
      <c r="Q5" s="89" t="n">
        <f aca="false">IF(O5="REORDER NOW",CEILING(P5-G5,R5),0)</f>
        <v>0</v>
      </c>
      <c r="R5" s="45" t="n">
        <f aca="false">INDEX(RawMaterials!$L$2:$L$11,MATCH($A5,RawMaterials!$A$2:$A$11,0))</f>
        <v>10000</v>
      </c>
      <c r="S5" s="69" t="n">
        <f aca="false">Q5*D5/Assumptions!$B$20</f>
        <v>0</v>
      </c>
      <c r="T5" s="33" t="n">
        <f aca="false">E5*D5/Assumptions!$B$20</f>
        <v>75.187</v>
      </c>
      <c r="U5" s="33" t="n">
        <f aca="false">INDEX(MRP!$P$5:$P$14,MATCH($A5,MRP!$A$5:$A$14,0))*D5/Assumptions!$B$20</f>
        <v>1255.15389857143</v>
      </c>
      <c r="V5" s="32" t="n">
        <f aca="false">SUMIF($U$5:$U$14,"&gt;="&amp;U5)/SUM($U$5:$U$14)</f>
        <v>0.726983371991491</v>
      </c>
    </row>
    <row r="6" customFormat="false" ht="15" hidden="false" customHeight="false" outlineLevel="0" collapsed="false">
      <c r="A6" s="6" t="s">
        <v>286</v>
      </c>
      <c r="B6" s="43" t="str">
        <f aca="false">INDEX(RawMaterials!$B$2:$B$11,MATCH($A6,RawMaterials!$A$2:$A$11,0))</f>
        <v>CRCA Steel Sheet / Coil</v>
      </c>
      <c r="C6" s="84" t="str">
        <f aca="false">IF(V6&lt;=Assumptions!$B$13,"A",IF(V6&lt;=Assumptions!$B$14,"B","C"))</f>
        <v>A</v>
      </c>
      <c r="D6" s="44" t="n">
        <f aca="false">INDEX(RawMaterials!$G$2:$G$11,MATCH($A6,RawMaterials!$A$2:$A$11,0))</f>
        <v>66.65</v>
      </c>
      <c r="E6" s="39" t="n">
        <v>71400</v>
      </c>
      <c r="F6" s="39" t="n">
        <v>0</v>
      </c>
      <c r="G6" s="29" t="n">
        <f aca="false">E6+F6</f>
        <v>71400</v>
      </c>
      <c r="H6" s="29" t="n">
        <f aca="false">SUM(INDEX(MRP!$D$5:$F$14,MATCH($A6,MRP!$A$5:$A$14,0),0))/(EDATE(Assumptions!$B$8,3)-Assumptions!$B$8)</f>
        <v>4465.40920716113</v>
      </c>
      <c r="I6" s="33" t="n">
        <f aca="false">IF(H6=0,0,E6/H6)</f>
        <v>15.9895760248572</v>
      </c>
      <c r="J6" s="33" t="n">
        <f aca="false">IF(H6=0,0,G6/H6)</f>
        <v>15.9895760248572</v>
      </c>
      <c r="K6" s="44" t="n">
        <f aca="false">INDEX(RawMaterials!$J$2:$J$11,MATCH($A6,RawMaterials!$A$2:$A$11,0))</f>
        <v>10.85</v>
      </c>
      <c r="L6" s="45" t="n">
        <f aca="false">INDEX(RawMaterials!$M$2:$M$11,MATCH($A6,RawMaterials!$A$2:$A$11,0))</f>
        <v>7</v>
      </c>
      <c r="M6" s="29" t="n">
        <f aca="false">L6*H6</f>
        <v>31257.8644501279</v>
      </c>
      <c r="N6" s="29" t="n">
        <f aca="false">H6*K6+M6</f>
        <v>79707.5543478261</v>
      </c>
      <c r="O6" s="84" t="str">
        <f aca="false">IF(G6&lt;=N6,"REORDER NOW",IF(G6&lt;=N6*(1+Assumptions!$B$12),"WATCH","OK"))</f>
        <v>REORDER NOW</v>
      </c>
      <c r="P6" s="29" t="n">
        <f aca="false">N6+Assumptions!$B$11*H6</f>
        <v>213669.83056266</v>
      </c>
      <c r="Q6" s="89" t="n">
        <f aca="false">IF(O6="REORDER NOW",CEILING(P6-G6,R6),0)</f>
        <v>144000</v>
      </c>
      <c r="R6" s="45" t="n">
        <f aca="false">INDEX(RawMaterials!$L$2:$L$11,MATCH($A6,RawMaterials!$A$2:$A$11,0))</f>
        <v>3000</v>
      </c>
      <c r="S6" s="69" t="n">
        <f aca="false">Q6*D6/Assumptions!$B$20</f>
        <v>95.976</v>
      </c>
      <c r="T6" s="33" t="n">
        <f aca="false">E6*D6/Assumptions!$B$20</f>
        <v>47.5881</v>
      </c>
      <c r="U6" s="33" t="n">
        <f aca="false">INDEX(MRP!$P$5:$P$14,MATCH($A6,MRP!$A$5:$A$14,0))*D6/Assumptions!$B$20</f>
        <v>1560.28042058824</v>
      </c>
      <c r="V6" s="32" t="n">
        <f aca="false">SUMIF($U$5:$U$14,"&gt;="&amp;U6)/SUM($U$5:$U$14)</f>
        <v>0.649303305063482</v>
      </c>
    </row>
    <row r="7" customFormat="false" ht="15" hidden="false" customHeight="false" outlineLevel="0" collapsed="false">
      <c r="A7" s="6" t="s">
        <v>292</v>
      </c>
      <c r="B7" s="43" t="str">
        <f aca="false">INDEX(RawMaterials!$B$2:$B$11,MATCH($A7,RawMaterials!$A$2:$A$11,0))</f>
        <v>Aluminium Alloy Ingot (ADC12)</v>
      </c>
      <c r="C7" s="84" t="str">
        <f aca="false">IF(V7&lt;=Assumptions!$B$13,"A",IF(V7&lt;=Assumptions!$B$14,"B","C"))</f>
        <v>A</v>
      </c>
      <c r="D7" s="44" t="n">
        <f aca="false">INDEX(RawMaterials!$G$2:$G$11,MATCH($A7,RawMaterials!$A$2:$A$11,0))</f>
        <v>261.5</v>
      </c>
      <c r="E7" s="39" t="n">
        <v>29200</v>
      </c>
      <c r="F7" s="39" t="n">
        <v>0</v>
      </c>
      <c r="G7" s="29" t="n">
        <f aca="false">E7+F7</f>
        <v>29200</v>
      </c>
      <c r="H7" s="29" t="n">
        <f aca="false">SUM(INDEX(MRP!$D$5:$F$14,MATCH($A7,MRP!$A$5:$A$14,0),0))/(EDATE(Assumptions!$B$8,3)-Assumptions!$B$8)</f>
        <v>1946.33152173913</v>
      </c>
      <c r="I7" s="33" t="n">
        <f aca="false">IF(H7=0,0,E7/H7)</f>
        <v>15.0025828970332</v>
      </c>
      <c r="J7" s="33" t="n">
        <f aca="false">IF(H7=0,0,G7/H7)</f>
        <v>15.0025828970332</v>
      </c>
      <c r="K7" s="44" t="n">
        <f aca="false">INDEX(RawMaterials!$J$2:$J$11,MATCH($A7,RawMaterials!$A$2:$A$11,0))</f>
        <v>7.9</v>
      </c>
      <c r="L7" s="45" t="n">
        <f aca="false">INDEX(RawMaterials!$M$2:$M$11,MATCH($A7,RawMaterials!$A$2:$A$11,0))</f>
        <v>6</v>
      </c>
      <c r="M7" s="29" t="n">
        <f aca="false">L7*H7</f>
        <v>11677.9891304348</v>
      </c>
      <c r="N7" s="29" t="n">
        <f aca="false">H7*K7+M7</f>
        <v>27054.0081521739</v>
      </c>
      <c r="O7" s="84" t="str">
        <f aca="false">IF(G7&lt;=N7,"REORDER NOW",IF(G7&lt;=N7*(1+Assumptions!$B$12),"WATCH","OK"))</f>
        <v>WATCH</v>
      </c>
      <c r="P7" s="29" t="n">
        <f aca="false">N7+Assumptions!$B$11*H7</f>
        <v>85443.9538043478</v>
      </c>
      <c r="Q7" s="89" t="n">
        <f aca="false">IF(O7="REORDER NOW",CEILING(P7-G7,R7),0)</f>
        <v>0</v>
      </c>
      <c r="R7" s="45" t="n">
        <f aca="false">INDEX(RawMaterials!$L$2:$L$11,MATCH($A7,RawMaterials!$A$2:$A$11,0))</f>
        <v>5000</v>
      </c>
      <c r="S7" s="69" t="n">
        <f aca="false">Q7*D7/Assumptions!$B$20</f>
        <v>0</v>
      </c>
      <c r="T7" s="33" t="n">
        <f aca="false">E7*D7/Assumptions!$B$20</f>
        <v>76.358</v>
      </c>
      <c r="U7" s="33" t="n">
        <f aca="false">INDEX(MRP!$P$5:$P$14,MATCH($A7,MRP!$A$5:$A$14,0))*D7/Assumptions!$B$20</f>
        <v>2266.49440217391</v>
      </c>
      <c r="V7" s="32" t="n">
        <f aca="false">SUMIF($U$5:$U$14,"&gt;="&amp;U7)/SUM($U$5:$U$14)</f>
        <v>0.552739299935741</v>
      </c>
    </row>
    <row r="8" customFormat="false" ht="15" hidden="false" customHeight="false" outlineLevel="0" collapsed="false">
      <c r="A8" s="6" t="s">
        <v>300</v>
      </c>
      <c r="B8" s="43" t="str">
        <f aca="false">INDEX(RawMaterials!$B$2:$B$11,MATCH($A8,RawMaterials!$A$2:$A$11,0))</f>
        <v>Enamelled Copper Winding Wire</v>
      </c>
      <c r="C8" s="84" t="str">
        <f aca="false">IF(V8&lt;=Assumptions!$B$13,"A",IF(V8&lt;=Assumptions!$B$14,"B","C"))</f>
        <v>A</v>
      </c>
      <c r="D8" s="44" t="n">
        <f aca="false">INDEX(RawMaterials!$G$2:$G$11,MATCH($A8,RawMaterials!$A$2:$A$11,0))</f>
        <v>1336.25</v>
      </c>
      <c r="E8" s="39" t="n">
        <v>13600</v>
      </c>
      <c r="F8" s="39" t="n">
        <v>9000</v>
      </c>
      <c r="G8" s="29" t="n">
        <f aca="false">E8+F8</f>
        <v>22600</v>
      </c>
      <c r="H8" s="29" t="n">
        <f aca="false">SUM(INDEX(MRP!$D$5:$F$14,MATCH($A8,MRP!$A$5:$A$14,0),0))/(EDATE(Assumptions!$B$8,3)-Assumptions!$B$8)</f>
        <v>971.561668145519</v>
      </c>
      <c r="I8" s="33" t="n">
        <f aca="false">IF(H8=0,0,E8/H8)</f>
        <v>13.9980821042057</v>
      </c>
      <c r="J8" s="33" t="n">
        <f aca="false">IF(H8=0,0,G8/H8)</f>
        <v>23.2615187908124</v>
      </c>
      <c r="K8" s="44" t="n">
        <f aca="false">INDEX(RawMaterials!$J$2:$J$11,MATCH($A8,RawMaterials!$A$2:$A$11,0))</f>
        <v>12.5</v>
      </c>
      <c r="L8" s="45" t="n">
        <f aca="false">INDEX(RawMaterials!$M$2:$M$11,MATCH($A8,RawMaterials!$A$2:$A$11,0))</f>
        <v>7</v>
      </c>
      <c r="M8" s="29" t="n">
        <f aca="false">L8*H8</f>
        <v>6800.93167701863</v>
      </c>
      <c r="N8" s="29" t="n">
        <f aca="false">H8*K8+M8</f>
        <v>18945.4525288376</v>
      </c>
      <c r="O8" s="84" t="str">
        <f aca="false">IF(G8&lt;=N8,"REORDER NOW",IF(G8&lt;=N8*(1+Assumptions!$B$12),"WATCH","OK"))</f>
        <v>OK</v>
      </c>
      <c r="P8" s="29" t="n">
        <f aca="false">N8+Assumptions!$B$11*H8</f>
        <v>48092.3025732032</v>
      </c>
      <c r="Q8" s="89" t="n">
        <f aca="false">IF(O8="REORDER NOW",CEILING(P8-G8,R8),0)</f>
        <v>0</v>
      </c>
      <c r="R8" s="45" t="n">
        <f aca="false">INDEX(RawMaterials!$L$2:$L$11,MATCH($A8,RawMaterials!$A$2:$A$11,0))</f>
        <v>1000</v>
      </c>
      <c r="S8" s="69" t="n">
        <f aca="false">Q8*D8/Assumptions!$B$20</f>
        <v>0</v>
      </c>
      <c r="T8" s="33" t="n">
        <f aca="false">E8*D8/Assumptions!$B$20</f>
        <v>181.73</v>
      </c>
      <c r="U8" s="33" t="n">
        <f aca="false">INDEX(MRP!$P$5:$P$14,MATCH($A8,MRP!$A$5:$A$14,0))*D8/Assumptions!$B$20</f>
        <v>6664.6627742347</v>
      </c>
      <c r="V8" s="32" t="n">
        <f aca="false">SUMIF($U$5:$U$14,"&gt;="&amp;U8)/SUM($U$5:$U$14)</f>
        <v>0.41246850361888</v>
      </c>
    </row>
    <row r="9" customFormat="false" ht="15" hidden="false" customHeight="false" outlineLevel="0" collapsed="false">
      <c r="A9" s="6" t="s">
        <v>306</v>
      </c>
      <c r="B9" s="43" t="str">
        <f aca="false">INDEX(RawMaterials!$B$2:$B$11,MATCH($A9,RawMaterials!$A$2:$A$11,0))</f>
        <v>Polypropylene (PP) Granules</v>
      </c>
      <c r="C9" s="84" t="str">
        <f aca="false">IF(V9&lt;=Assumptions!$B$13,"A",IF(V9&lt;=Assumptions!$B$14,"B","C"))</f>
        <v>C</v>
      </c>
      <c r="D9" s="44" t="n">
        <f aca="false">INDEX(RawMaterials!$G$2:$G$11,MATCH($A9,RawMaterials!$A$2:$A$11,0))</f>
        <v>107</v>
      </c>
      <c r="E9" s="39" t="n">
        <v>46700</v>
      </c>
      <c r="F9" s="39" t="n">
        <v>0</v>
      </c>
      <c r="G9" s="29" t="n">
        <f aca="false">E9+F9</f>
        <v>46700</v>
      </c>
      <c r="H9" s="29" t="n">
        <f aca="false">SUM(INDEX(MRP!$D$5:$F$14,MATCH($A9,MRP!$A$5:$A$14,0),0))/(EDATE(Assumptions!$B$8,3)-Assumptions!$B$8)</f>
        <v>1138.86149708651</v>
      </c>
      <c r="I9" s="33" t="n">
        <f aca="false">IF(H9=0,0,E9/H9)</f>
        <v>41.0058642947103</v>
      </c>
      <c r="J9" s="33" t="n">
        <f aca="false">IF(H9=0,0,G9/H9)</f>
        <v>41.0058642947103</v>
      </c>
      <c r="K9" s="44" t="n">
        <f aca="false">INDEX(RawMaterials!$J$2:$J$11,MATCH($A9,RawMaterials!$A$2:$A$11,0))</f>
        <v>12.4</v>
      </c>
      <c r="L9" s="45" t="n">
        <f aca="false">INDEX(RawMaterials!$M$2:$M$11,MATCH($A9,RawMaterials!$A$2:$A$11,0))</f>
        <v>12</v>
      </c>
      <c r="M9" s="29" t="n">
        <f aca="false">L9*H9</f>
        <v>13666.3379650381</v>
      </c>
      <c r="N9" s="29" t="n">
        <f aca="false">H9*K9+M9</f>
        <v>27788.2205289108</v>
      </c>
      <c r="O9" s="84" t="str">
        <f aca="false">IF(G9&lt;=N9,"REORDER NOW",IF(G9&lt;=N9*(1+Assumptions!$B$12),"WATCH","OK"))</f>
        <v>OK</v>
      </c>
      <c r="P9" s="29" t="n">
        <f aca="false">N9+Assumptions!$B$11*H9</f>
        <v>61954.0654415061</v>
      </c>
      <c r="Q9" s="89" t="n">
        <f aca="false">IF(O9="REORDER NOW",CEILING(P9-G9,R9),0)</f>
        <v>0</v>
      </c>
      <c r="R9" s="45" t="n">
        <f aca="false">INDEX(RawMaterials!$L$2:$L$11,MATCH($A9,RawMaterials!$A$2:$A$11,0))</f>
        <v>5000</v>
      </c>
      <c r="S9" s="69" t="n">
        <f aca="false">Q9*D9/Assumptions!$B$20</f>
        <v>0</v>
      </c>
      <c r="T9" s="33" t="n">
        <f aca="false">E9*D9/Assumptions!$B$20</f>
        <v>49.969</v>
      </c>
      <c r="U9" s="33" t="n">
        <f aca="false">INDEX(MRP!$P$5:$P$14,MATCH($A9,MRP!$A$5:$A$14,0))*D9/Assumptions!$B$20</f>
        <v>769.403907216495</v>
      </c>
      <c r="V9" s="32" t="n">
        <f aca="false">SUMIF($U$5:$U$14,"&gt;="&amp;U9)/SUM($U$5:$U$14)</f>
        <v>0.952179594467235</v>
      </c>
    </row>
    <row r="10" customFormat="false" ht="15" hidden="false" customHeight="false" outlineLevel="0" collapsed="false">
      <c r="A10" s="6" t="s">
        <v>313</v>
      </c>
      <c r="B10" s="43" t="str">
        <f aca="false">INDEX(RawMaterials!$B$2:$B$11,MATCH($A10,RawMaterials!$A$2:$A$11,0))</f>
        <v>ABS Granules</v>
      </c>
      <c r="C10" s="84" t="str">
        <f aca="false">IF(V10&lt;=Assumptions!$B$13,"A",IF(V10&lt;=Assumptions!$B$14,"B","C"))</f>
        <v>A</v>
      </c>
      <c r="D10" s="44" t="n">
        <f aca="false">INDEX(RawMaterials!$G$2:$G$11,MATCH($A10,RawMaterials!$A$2:$A$11,0))</f>
        <v>156</v>
      </c>
      <c r="E10" s="39" t="n">
        <v>65800</v>
      </c>
      <c r="F10" s="39" t="n">
        <v>0</v>
      </c>
      <c r="G10" s="29" t="n">
        <f aca="false">E10+F10</f>
        <v>65800</v>
      </c>
      <c r="H10" s="29" t="n">
        <f aca="false">SUM(INDEX(MRP!$D$5:$F$14,MATCH($A10,MRP!$A$5:$A$14,0),0))/(EDATE(Assumptions!$B$8,3)-Assumptions!$B$8)</f>
        <v>1994.73330345137</v>
      </c>
      <c r="I10" s="33" t="n">
        <f aca="false">IF(H10=0,0,E10/H10)</f>
        <v>32.9868659064098</v>
      </c>
      <c r="J10" s="33" t="n">
        <f aca="false">IF(H10=0,0,G10/H10)</f>
        <v>32.9868659064098</v>
      </c>
      <c r="K10" s="44" t="n">
        <f aca="false">INDEX(RawMaterials!$J$2:$J$11,MATCH($A10,RawMaterials!$A$2:$A$11,0))</f>
        <v>25.2</v>
      </c>
      <c r="L10" s="45" t="n">
        <f aca="false">INDEX(RawMaterials!$M$2:$M$11,MATCH($A10,RawMaterials!$A$2:$A$11,0))</f>
        <v>14</v>
      </c>
      <c r="M10" s="29" t="n">
        <f aca="false">L10*H10</f>
        <v>27926.2662483191</v>
      </c>
      <c r="N10" s="29" t="n">
        <f aca="false">H10*K10+M10</f>
        <v>78193.5454952936</v>
      </c>
      <c r="O10" s="84" t="str">
        <f aca="false">IF(G10&lt;=N10,"REORDER NOW",IF(G10&lt;=N10*(1+Assumptions!$B$12),"WATCH","OK"))</f>
        <v>REORDER NOW</v>
      </c>
      <c r="P10" s="29" t="n">
        <f aca="false">N10+Assumptions!$B$11*H10</f>
        <v>138035.544598835</v>
      </c>
      <c r="Q10" s="89" t="n">
        <f aca="false">IF(O10="REORDER NOW",CEILING(P10-G10,R10),0)</f>
        <v>80000</v>
      </c>
      <c r="R10" s="45" t="n">
        <f aca="false">INDEX(RawMaterials!$L$2:$L$11,MATCH($A10,RawMaterials!$A$2:$A$11,0))</f>
        <v>20000</v>
      </c>
      <c r="S10" s="69" t="n">
        <f aca="false">Q10*D10/Assumptions!$B$20</f>
        <v>124.8</v>
      </c>
      <c r="T10" s="33" t="n">
        <f aca="false">E10*D10/Assumptions!$B$20</f>
        <v>102.648</v>
      </c>
      <c r="U10" s="33" t="n">
        <f aca="false">INDEX(MRP!$P$5:$P$14,MATCH($A10,MRP!$A$5:$A$14,0))*D10/Assumptions!$B$20</f>
        <v>1073.0387628866</v>
      </c>
      <c r="V10" s="32" t="n">
        <f aca="false">SUMIF($U$5:$U$14,"&gt;="&amp;U10)/SUM($U$5:$U$14)</f>
        <v>0.793392537443034</v>
      </c>
    </row>
    <row r="11" customFormat="false" ht="15" hidden="false" customHeight="false" outlineLevel="0" collapsed="false">
      <c r="A11" s="6" t="s">
        <v>319</v>
      </c>
      <c r="B11" s="43" t="str">
        <f aca="false">INDEX(RawMaterials!$B$2:$B$11,MATCH($A11,RawMaterials!$A$2:$A$11,0))</f>
        <v>Stainless Steel 304 Sheet</v>
      </c>
      <c r="C11" s="84" t="str">
        <f aca="false">IF(V11&lt;=Assumptions!$B$13,"A",IF(V11&lt;=Assumptions!$B$14,"B","C"))</f>
        <v>B</v>
      </c>
      <c r="D11" s="44" t="n">
        <f aca="false">INDEX(RawMaterials!$G$2:$G$11,MATCH($A11,RawMaterials!$A$2:$A$11,0))</f>
        <v>206.5</v>
      </c>
      <c r="E11" s="39" t="n">
        <v>30600</v>
      </c>
      <c r="F11" s="39" t="n">
        <v>0</v>
      </c>
      <c r="G11" s="29" t="n">
        <f aca="false">E11+F11</f>
        <v>30600</v>
      </c>
      <c r="H11" s="29" t="n">
        <f aca="false">SUM(INDEX(MRP!$D$5:$F$14,MATCH($A11,MRP!$A$5:$A$14,0),0))/(EDATE(Assumptions!$B$8,3)-Assumptions!$B$8)</f>
        <v>1610.90933191941</v>
      </c>
      <c r="I11" s="33" t="n">
        <f aca="false">IF(H11=0,0,E11/H11)</f>
        <v>18.9954824853736</v>
      </c>
      <c r="J11" s="33" t="n">
        <f aca="false">IF(H11=0,0,G11/H11)</f>
        <v>18.9954824853736</v>
      </c>
      <c r="K11" s="44" t="n">
        <f aca="false">INDEX(RawMaterials!$J$2:$J$11,MATCH($A11,RawMaterials!$A$2:$A$11,0))</f>
        <v>5.2</v>
      </c>
      <c r="L11" s="45" t="n">
        <f aca="false">INDEX(RawMaterials!$M$2:$M$11,MATCH($A11,RawMaterials!$A$2:$A$11,0))</f>
        <v>7</v>
      </c>
      <c r="M11" s="29" t="n">
        <f aca="false">L11*H11</f>
        <v>11276.3653234358</v>
      </c>
      <c r="N11" s="29" t="n">
        <f aca="false">H11*K11+M11</f>
        <v>19653.0938494168</v>
      </c>
      <c r="O11" s="84" t="str">
        <f aca="false">IF(G11&lt;=N11,"REORDER NOW",IF(G11&lt;=N11*(1+Assumptions!$B$12),"WATCH","OK"))</f>
        <v>OK</v>
      </c>
      <c r="P11" s="29" t="n">
        <f aca="false">N11+Assumptions!$B$11*H11</f>
        <v>67980.373806999</v>
      </c>
      <c r="Q11" s="89" t="n">
        <f aca="false">IF(O11="REORDER NOW",CEILING(P11-G11,R11),0)</f>
        <v>0</v>
      </c>
      <c r="R11" s="45" t="n">
        <f aca="false">INDEX(RawMaterials!$L$2:$L$11,MATCH($A11,RawMaterials!$A$2:$A$11,0))</f>
        <v>1000</v>
      </c>
      <c r="S11" s="69" t="n">
        <f aca="false">Q11*D11/Assumptions!$B$20</f>
        <v>0</v>
      </c>
      <c r="T11" s="33" t="n">
        <f aca="false">E11*D11/Assumptions!$B$20</f>
        <v>63.189</v>
      </c>
      <c r="U11" s="33" t="n">
        <f aca="false">INDEX(MRP!$P$5:$P$14,MATCH($A11,MRP!$A$5:$A$14,0))*D11/Assumptions!$B$20</f>
        <v>1000.95082926829</v>
      </c>
      <c r="V11" s="32" t="n">
        <f aca="false">SUMIF($U$5:$U$14,"&gt;="&amp;U11)/SUM($U$5:$U$14)</f>
        <v>0.855340261541014</v>
      </c>
    </row>
    <row r="12" customFormat="false" ht="15" hidden="false" customHeight="false" outlineLevel="0" collapsed="false">
      <c r="A12" s="6" t="s">
        <v>326</v>
      </c>
      <c r="B12" s="43" t="str">
        <f aca="false">INDEX(RawMaterials!$B$2:$B$11,MATCH($A12,RawMaterials!$A$2:$A$11,0))</f>
        <v>Nichrome Resistance Wire (Ni80/Cr20)</v>
      </c>
      <c r="C12" s="84" t="str">
        <f aca="false">IF(V12&lt;=Assumptions!$B$13,"A",IF(V12&lt;=Assumptions!$B$14,"B","C"))</f>
        <v>C</v>
      </c>
      <c r="D12" s="44" t="n">
        <f aca="false">INDEX(RawMaterials!$G$2:$G$11,MATCH($A12,RawMaterials!$A$2:$A$11,0))</f>
        <v>2080</v>
      </c>
      <c r="E12" s="39" t="n">
        <v>3750</v>
      </c>
      <c r="F12" s="39" t="n">
        <v>0</v>
      </c>
      <c r="G12" s="29" t="n">
        <f aca="false">E12+F12</f>
        <v>3750</v>
      </c>
      <c r="H12" s="29" t="n">
        <f aca="false">SUM(INDEX(MRP!$D$5:$F$14,MATCH($A12,MRP!$A$5:$A$14,0),0))/(EDATE(Assumptions!$B$8,3)-Assumptions!$B$8)</f>
        <v>104.047780797101</v>
      </c>
      <c r="I12" s="33" t="n">
        <f aca="false">IF(H12=0,0,E12/H12)</f>
        <v>36.0411339028239</v>
      </c>
      <c r="J12" s="33" t="n">
        <f aca="false">IF(H12=0,0,G12/H12)</f>
        <v>36.0411339028239</v>
      </c>
      <c r="K12" s="44" t="n">
        <f aca="false">INDEX(RawMaterials!$J$2:$J$11,MATCH($A12,RawMaterials!$A$2:$A$11,0))</f>
        <v>12.3</v>
      </c>
      <c r="L12" s="45" t="n">
        <f aca="false">INDEX(RawMaterials!$M$2:$M$11,MATCH($A12,RawMaterials!$A$2:$A$11,0))</f>
        <v>15</v>
      </c>
      <c r="M12" s="29" t="n">
        <f aca="false">L12*H12</f>
        <v>1560.71671195652</v>
      </c>
      <c r="N12" s="29" t="n">
        <f aca="false">H12*K12+M12</f>
        <v>2840.50441576087</v>
      </c>
      <c r="O12" s="84" t="str">
        <f aca="false">IF(G12&lt;=N12,"REORDER NOW",IF(G12&lt;=N12*(1+Assumptions!$B$12),"WATCH","OK"))</f>
        <v>OK</v>
      </c>
      <c r="P12" s="29" t="n">
        <f aca="false">N12+Assumptions!$B$11*H12</f>
        <v>5961.93783967391</v>
      </c>
      <c r="Q12" s="89" t="n">
        <f aca="false">IF(O12="REORDER NOW",CEILING(P12-G12,R12),0)</f>
        <v>0</v>
      </c>
      <c r="R12" s="45" t="n">
        <f aca="false">INDEX(RawMaterials!$L$2:$L$11,MATCH($A12,RawMaterials!$A$2:$A$11,0))</f>
        <v>100</v>
      </c>
      <c r="S12" s="69" t="n">
        <f aca="false">Q12*D12/Assumptions!$B$20</f>
        <v>0</v>
      </c>
      <c r="T12" s="33" t="n">
        <f aca="false">E12*D12/Assumptions!$B$20</f>
        <v>78</v>
      </c>
      <c r="U12" s="33" t="n">
        <f aca="false">INDEX(MRP!$P$5:$P$14,MATCH($A12,MRP!$A$5:$A$14,0))*D12/Assumptions!$B$20</f>
        <v>458.434166666667</v>
      </c>
      <c r="V12" s="32" t="n">
        <f aca="false">SUMIF($U$5:$U$14,"&gt;="&amp;U12)/SUM($U$5:$U$14)</f>
        <v>0.980551570835459</v>
      </c>
    </row>
    <row r="13" customFormat="false" ht="15" hidden="false" customHeight="false" outlineLevel="0" collapsed="false">
      <c r="A13" s="6" t="s">
        <v>333</v>
      </c>
      <c r="B13" s="43" t="str">
        <f aca="false">INDEX(RawMaterials!$B$2:$B$11,MATCH($A13,RawMaterials!$A$2:$A$11,0))</f>
        <v>Powder Coating (Epoxy-Polyester)</v>
      </c>
      <c r="C13" s="84" t="str">
        <f aca="false">IF(V13&lt;=Assumptions!$B$13,"A",IF(V13&lt;=Assumptions!$B$14,"B","C"))</f>
        <v>C</v>
      </c>
      <c r="D13" s="44" t="n">
        <f aca="false">INDEX(RawMaterials!$G$2:$G$11,MATCH($A13,RawMaterials!$A$2:$A$11,0))</f>
        <v>345</v>
      </c>
      <c r="E13" s="39" t="n">
        <v>4050</v>
      </c>
      <c r="F13" s="39" t="n">
        <v>0</v>
      </c>
      <c r="G13" s="29" t="n">
        <f aca="false">E13+F13</f>
        <v>4050</v>
      </c>
      <c r="H13" s="29" t="n">
        <f aca="false">SUM(INDEX(MRP!$D$5:$F$14,MATCH($A13,MRP!$A$5:$A$14,0),0))/(EDATE(Assumptions!$B$8,3)-Assumptions!$B$8)</f>
        <v>168.634510869565</v>
      </c>
      <c r="I13" s="33" t="n">
        <f aca="false">IF(H13=0,0,E13/H13)</f>
        <v>24.016436369496</v>
      </c>
      <c r="J13" s="33" t="n">
        <f aca="false">IF(H13=0,0,G13/H13)</f>
        <v>24.016436369496</v>
      </c>
      <c r="K13" s="44" t="n">
        <f aca="false">INDEX(RawMaterials!$J$2:$J$11,MATCH($A13,RawMaterials!$A$2:$A$11,0))</f>
        <v>9</v>
      </c>
      <c r="L13" s="45" t="n">
        <f aca="false">INDEX(RawMaterials!$M$2:$M$11,MATCH($A13,RawMaterials!$A$2:$A$11,0))</f>
        <v>10</v>
      </c>
      <c r="M13" s="29" t="n">
        <f aca="false">L13*H13</f>
        <v>1686.34510869565</v>
      </c>
      <c r="N13" s="29" t="n">
        <f aca="false">H13*K13+M13</f>
        <v>3204.05570652174</v>
      </c>
      <c r="O13" s="84" t="str">
        <f aca="false">IF(G13&lt;=N13,"REORDER NOW",IF(G13&lt;=N13*(1+Assumptions!$B$12),"WATCH","OK"))</f>
        <v>OK</v>
      </c>
      <c r="P13" s="29" t="n">
        <f aca="false">N13+Assumptions!$B$11*H13</f>
        <v>8263.0910326087</v>
      </c>
      <c r="Q13" s="89" t="n">
        <f aca="false">IF(O13="REORDER NOW",CEILING(P13-G13,R13),0)</f>
        <v>0</v>
      </c>
      <c r="R13" s="45" t="n">
        <f aca="false">INDEX(RawMaterials!$L$2:$L$11,MATCH($A13,RawMaterials!$A$2:$A$11,0))</f>
        <v>500</v>
      </c>
      <c r="S13" s="69" t="n">
        <f aca="false">Q13*D13/Assumptions!$B$20</f>
        <v>0</v>
      </c>
      <c r="T13" s="33" t="n">
        <f aca="false">E13*D13/Assumptions!$B$20</f>
        <v>13.9725</v>
      </c>
      <c r="U13" s="33" t="n">
        <f aca="false">INDEX(MRP!$P$5:$P$14,MATCH($A13,MRP!$A$5:$A$14,0))*D13/Assumptions!$B$20</f>
        <v>314.2475625</v>
      </c>
      <c r="V13" s="32" t="n">
        <f aca="false">SUMIF($U$5:$U$14,"&gt;="&amp;U13)/SUM($U$5:$U$14)</f>
        <v>1</v>
      </c>
    </row>
    <row r="14" customFormat="false" ht="15" hidden="false" customHeight="false" outlineLevel="0" collapsed="false">
      <c r="A14" s="6" t="s">
        <v>340</v>
      </c>
      <c r="B14" s="43" t="str">
        <f aca="false">INDEX(RawMaterials!$B$2:$B$11,MATCH($A14,RawMaterials!$A$2:$A$11,0))</f>
        <v>Corrugated Board / Cartons</v>
      </c>
      <c r="C14" s="84" t="str">
        <f aca="false">IF(V14&lt;=Assumptions!$B$13,"A",IF(V14&lt;=Assumptions!$B$14,"B","C"))</f>
        <v>B</v>
      </c>
      <c r="D14" s="44" t="n">
        <f aca="false">INDEX(RawMaterials!$G$2:$G$11,MATCH($A14,RawMaterials!$A$2:$A$11,0))</f>
        <v>52</v>
      </c>
      <c r="E14" s="39" t="n">
        <v>58200</v>
      </c>
      <c r="F14" s="39" t="n">
        <v>16000</v>
      </c>
      <c r="G14" s="29" t="n">
        <f aca="false">E14+F14</f>
        <v>74200</v>
      </c>
      <c r="H14" s="29" t="n">
        <f aca="false">SUM(INDEX(MRP!$D$5:$F$14,MATCH($A14,MRP!$A$5:$A$14,0),0))/(EDATE(Assumptions!$B$8,3)-Assumptions!$B$8)</f>
        <v>3421.39175257732</v>
      </c>
      <c r="I14" s="33" t="n">
        <f aca="false">IF(H14=0,0,E14/H14)</f>
        <v>17.0106214689266</v>
      </c>
      <c r="J14" s="33" t="n">
        <f aca="false">IF(H14=0,0,G14/H14)</f>
        <v>21.6870809792844</v>
      </c>
      <c r="K14" s="44" t="n">
        <f aca="false">INDEX(RawMaterials!$J$2:$J$11,MATCH($A14,RawMaterials!$A$2:$A$11,0))</f>
        <v>6</v>
      </c>
      <c r="L14" s="45" t="n">
        <f aca="false">INDEX(RawMaterials!$M$2:$M$11,MATCH($A14,RawMaterials!$A$2:$A$11,0))</f>
        <v>7</v>
      </c>
      <c r="M14" s="29" t="n">
        <f aca="false">L14*H14</f>
        <v>23949.7422680412</v>
      </c>
      <c r="N14" s="29" t="n">
        <f aca="false">H14*K14+M14</f>
        <v>44478.0927835052</v>
      </c>
      <c r="O14" s="84" t="str">
        <f aca="false">IF(G14&lt;=N14,"REORDER NOW",IF(G14&lt;=N14*(1+Assumptions!$B$12),"WATCH","OK"))</f>
        <v>OK</v>
      </c>
      <c r="P14" s="29" t="n">
        <f aca="false">N14+Assumptions!$B$11*H14</f>
        <v>147119.845360825</v>
      </c>
      <c r="Q14" s="89" t="n">
        <f aca="false">IF(O14="REORDER NOW",CEILING(P14-G14,R14),0)</f>
        <v>0</v>
      </c>
      <c r="R14" s="45" t="n">
        <f aca="false">INDEX(RawMaterials!$L$2:$L$11,MATCH($A14,RawMaterials!$A$2:$A$11,0))</f>
        <v>2000</v>
      </c>
      <c r="S14" s="69" t="n">
        <f aca="false">Q14*D14/Assumptions!$B$20</f>
        <v>0</v>
      </c>
      <c r="T14" s="33" t="n">
        <f aca="false">E14*D14/Assumptions!$B$20</f>
        <v>30.264</v>
      </c>
      <c r="U14" s="33" t="n">
        <f aca="false">INDEX(MRP!$P$5:$P$14,MATCH($A14,MRP!$A$5:$A$14,0))*D14/Assumptions!$B$20</f>
        <v>795.325257731959</v>
      </c>
      <c r="V14" s="32" t="n">
        <f aca="false">SUMIF($U$5:$U$14,"&gt;="&amp;U14)/SUM($U$5:$U$14)</f>
        <v>0.904562049658369</v>
      </c>
    </row>
    <row r="15" customFormat="false" ht="15" hidden="false" customHeight="false" outlineLevel="0" collapsed="false">
      <c r="A15" s="46" t="s">
        <v>692</v>
      </c>
      <c r="B15" s="47"/>
      <c r="C15" s="47"/>
      <c r="D15" s="47"/>
      <c r="E15" s="47"/>
      <c r="F15" s="47"/>
      <c r="G15" s="47"/>
      <c r="H15" s="47"/>
      <c r="I15" s="47"/>
      <c r="J15" s="47"/>
      <c r="K15" s="47"/>
      <c r="L15" s="47"/>
      <c r="M15" s="47"/>
      <c r="N15" s="47"/>
      <c r="O15" s="47"/>
      <c r="P15" s="47"/>
      <c r="Q15" s="47"/>
      <c r="R15" s="47"/>
      <c r="S15" s="50" t="n">
        <f aca="false">SUM(S5:S14)</f>
        <v>220.776</v>
      </c>
      <c r="T15" s="50" t="n">
        <f aca="false">SUM(T5:T14)</f>
        <v>718.9056</v>
      </c>
      <c r="U15" s="50" t="n">
        <f aca="false">SUM(U5:U14)</f>
        <v>16157.9919818383</v>
      </c>
      <c r="V15" s="47"/>
    </row>
    <row r="17" customFormat="false" ht="15" hidden="false" customHeight="false" outlineLevel="0" collapsed="false">
      <c r="A17" s="28" t="s">
        <v>95</v>
      </c>
      <c r="E17" s="90" t="n">
        <f aca="false">COUNTIF(O5:O14,"REORDER NOW")</f>
        <v>2</v>
      </c>
    </row>
    <row r="18" customFormat="false" ht="15" hidden="false" customHeight="false" outlineLevel="0" collapsed="false">
      <c r="A18" s="28" t="s">
        <v>749</v>
      </c>
      <c r="E18" s="90" t="n">
        <f aca="false">COUNTIF(O5:O14,"WATCH")</f>
        <v>1</v>
      </c>
    </row>
    <row r="19" customFormat="false" ht="15" hidden="false" customHeight="false" outlineLevel="0" collapsed="false">
      <c r="A19" s="28" t="s">
        <v>750</v>
      </c>
      <c r="E19" s="91" t="n">
        <f aca="false">IF(U15=0,0,T15/(U15/365))</f>
        <v>16.239675344247</v>
      </c>
    </row>
    <row r="21" customFormat="false" ht="15" hidden="false" customHeight="false" outlineLevel="0" collapsed="false">
      <c r="A21" s="27" t="s">
        <v>751</v>
      </c>
    </row>
    <row r="22" customFormat="false" ht="15" hidden="false" customHeight="false" outlineLevel="0" collapsed="false">
      <c r="A22" s="27" t="s">
        <v>752</v>
      </c>
    </row>
    <row r="23" customFormat="false" ht="15" hidden="false" customHeight="false" outlineLevel="0" collapsed="false">
      <c r="A23" s="27" t="s">
        <v>753</v>
      </c>
    </row>
  </sheetData>
  <conditionalFormatting sqref="O5:O14">
    <cfRule type="expression" priority="2" aboveAverage="0" equalAverage="0" bottom="0" percent="0" rank="0" text="" dxfId="1">
      <formula>O5="REORDER NOW"</formula>
    </cfRule>
    <cfRule type="expression" priority="3" aboveAverage="0" equalAverage="0" bottom="0" percent="0" rank="0" text="" dxfId="12">
      <formula>O5="WATCH"</formula>
    </cfRule>
    <cfRule type="expression" priority="4" aboveAverage="0" equalAverage="0" bottom="0" percent="0" rank="0" text="" dxfId="14">
      <formula>O5="OK"</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12" min="3" style="0" width="12.5"/>
    <col collapsed="false" customWidth="true" hidden="false" outlineLevel="0" max="13" min="13" style="0" width="13"/>
    <col collapsed="false" customWidth="true" hidden="false" outlineLevel="0" max="14" min="14" style="0" width="11"/>
  </cols>
  <sheetData>
    <row r="1" customFormat="false" ht="24" hidden="false" customHeight="true" outlineLevel="0" collapsed="false">
      <c r="A1" s="34" t="s">
        <v>754</v>
      </c>
    </row>
    <row r="2" customFormat="false" ht="15" hidden="false" customHeight="false" outlineLevel="0" collapsed="false">
      <c r="A2" s="35" t="s">
        <v>755</v>
      </c>
    </row>
    <row r="3" customFormat="false" ht="25.5" hidden="false" customHeight="true" outlineLevel="0" collapsed="false">
      <c r="A3" s="63"/>
      <c r="B3" s="63"/>
      <c r="C3" s="71" t="str">
        <f aca="false">RawMaterials!$C$2</f>
        <v>CRNGO steel coil</v>
      </c>
      <c r="D3" s="71" t="str">
        <f aca="false">RawMaterials!$C$3</f>
        <v>CRCA steel sheet</v>
      </c>
      <c r="E3" s="71" t="str">
        <f aca="false">RawMaterials!$C$4</f>
        <v>Aluminium ADC12</v>
      </c>
      <c r="F3" s="71" t="str">
        <f aca="false">RawMaterials!$C$5</f>
        <v>Copper winding wire</v>
      </c>
      <c r="G3" s="71" t="str">
        <f aca="false">RawMaterials!$C$6</f>
        <v>PP granules</v>
      </c>
      <c r="H3" s="71" t="str">
        <f aca="false">RawMaterials!$C$7</f>
        <v>ABS granules</v>
      </c>
      <c r="I3" s="71" t="str">
        <f aca="false">RawMaterials!$C$8</f>
        <v>SS304 sheet</v>
      </c>
      <c r="J3" s="71" t="str">
        <f aca="false">RawMaterials!$C$9</f>
        <v>Nichrome wire</v>
      </c>
      <c r="K3" s="71" t="str">
        <f aca="false">RawMaterials!$C$10</f>
        <v>Powder coating</v>
      </c>
      <c r="L3" s="71" t="str">
        <f aca="false">RawMaterials!$C$11</f>
        <v>Corrugated cartons</v>
      </c>
    </row>
    <row r="4" customFormat="false" ht="30" hidden="false" customHeight="true" outlineLevel="0" collapsed="false">
      <c r="A4" s="8" t="s">
        <v>350</v>
      </c>
      <c r="B4" s="8" t="s">
        <v>109</v>
      </c>
      <c r="C4" s="8" t="s">
        <v>277</v>
      </c>
      <c r="D4" s="8" t="s">
        <v>286</v>
      </c>
      <c r="E4" s="8" t="s">
        <v>292</v>
      </c>
      <c r="F4" s="8" t="s">
        <v>300</v>
      </c>
      <c r="G4" s="8" t="s">
        <v>306</v>
      </c>
      <c r="H4" s="8" t="s">
        <v>313</v>
      </c>
      <c r="I4" s="8" t="s">
        <v>319</v>
      </c>
      <c r="J4" s="8" t="s">
        <v>326</v>
      </c>
      <c r="K4" s="8" t="s">
        <v>333</v>
      </c>
      <c r="L4" s="8" t="s">
        <v>340</v>
      </c>
      <c r="M4" s="8" t="s">
        <v>756</v>
      </c>
      <c r="N4" s="8" t="s">
        <v>757</v>
      </c>
    </row>
    <row r="5" customFormat="false" ht="15" hidden="false" customHeight="false" outlineLevel="0" collapsed="false">
      <c r="A5" s="6" t="s">
        <v>370</v>
      </c>
      <c r="B5" s="43" t="str">
        <f aca="false">INDEX(Suppliers!$B$2:$B$11,MATCH($A5,Suppliers!$A$2:$A$11,0))</f>
        <v>Kalinga Electrical Steels Pvt Ltd</v>
      </c>
      <c r="C5" s="69" t="n">
        <f aca="false">SUMIFS(Sourcing!$O$2:$O$60,Sourcing!$D$2:$D$60,$A5,Sourcing!$B$2:$B$60,C$4)</f>
        <v>856.031085</v>
      </c>
      <c r="D5" s="69" t="n">
        <f aca="false">SUMIFS(Sourcing!$O$2:$O$60,Sourcing!$D$2:$D$60,$A5,Sourcing!$B$2:$B$60,D$4)</f>
        <v>684.744220588235</v>
      </c>
      <c r="E5" s="69" t="n">
        <f aca="false">SUMIFS(Sourcing!$O$2:$O$60,Sourcing!$D$2:$D$60,$A5,Sourcing!$B$2:$B$60,E$4)</f>
        <v>0</v>
      </c>
      <c r="F5" s="69" t="n">
        <f aca="false">SUMIFS(Sourcing!$O$2:$O$60,Sourcing!$D$2:$D$60,$A5,Sourcing!$B$2:$B$60,F$4)</f>
        <v>0</v>
      </c>
      <c r="G5" s="69" t="n">
        <f aca="false">SUMIFS(Sourcing!$O$2:$O$60,Sourcing!$D$2:$D$60,$A5,Sourcing!$B$2:$B$60,G$4)</f>
        <v>0</v>
      </c>
      <c r="H5" s="69" t="n">
        <f aca="false">SUMIFS(Sourcing!$O$2:$O$60,Sourcing!$D$2:$D$60,$A5,Sourcing!$B$2:$B$60,H$4)</f>
        <v>0</v>
      </c>
      <c r="I5" s="69" t="n">
        <f aca="false">SUMIFS(Sourcing!$O$2:$O$60,Sourcing!$D$2:$D$60,$A5,Sourcing!$B$2:$B$60,I$4)</f>
        <v>0</v>
      </c>
      <c r="J5" s="69" t="n">
        <f aca="false">SUMIFS(Sourcing!$O$2:$O$60,Sourcing!$D$2:$D$60,$A5,Sourcing!$B$2:$B$60,J$4)</f>
        <v>0</v>
      </c>
      <c r="K5" s="69" t="n">
        <f aca="false">SUMIFS(Sourcing!$O$2:$O$60,Sourcing!$D$2:$D$60,$A5,Sourcing!$B$2:$B$60,K$4)</f>
        <v>0</v>
      </c>
      <c r="L5" s="69" t="n">
        <f aca="false">SUMIFS(Sourcing!$O$2:$O$60,Sourcing!$D$2:$D$60,$A5,Sourcing!$B$2:$B$60,L$4)</f>
        <v>0</v>
      </c>
      <c r="M5" s="70" t="n">
        <f aca="false">SUM(C5:L5)</f>
        <v>1540.77530558824</v>
      </c>
      <c r="N5" s="32" t="n">
        <f aca="false">IF($M$15=0,0,M5/$M$15)</f>
        <v>0.0953568554384777</v>
      </c>
    </row>
    <row r="6" customFormat="false" ht="15" hidden="false" customHeight="false" outlineLevel="0" collapsed="false">
      <c r="A6" s="6" t="s">
        <v>377</v>
      </c>
      <c r="B6" s="43" t="str">
        <f aca="false">INDEX(Suppliers!$B$2:$B$11,MATCH($A6,Suppliers!$A$2:$A$11,0))</f>
        <v>Pune Coil Processing Pvt Ltd</v>
      </c>
      <c r="C6" s="69" t="n">
        <f aca="false">SUMIFS(Sourcing!$O$2:$O$60,Sourcing!$D$2:$D$60,$A6,Sourcing!$B$2:$B$60,C$4)</f>
        <v>399.122813571429</v>
      </c>
      <c r="D6" s="69" t="n">
        <f aca="false">SUMIFS(Sourcing!$O$2:$O$60,Sourcing!$D$2:$D$60,$A6,Sourcing!$B$2:$B$60,D$4)</f>
        <v>875.5362</v>
      </c>
      <c r="E6" s="69" t="n">
        <f aca="false">SUMIFS(Sourcing!$O$2:$O$60,Sourcing!$D$2:$D$60,$A6,Sourcing!$B$2:$B$60,E$4)</f>
        <v>0</v>
      </c>
      <c r="F6" s="69" t="n">
        <f aca="false">SUMIFS(Sourcing!$O$2:$O$60,Sourcing!$D$2:$D$60,$A6,Sourcing!$B$2:$B$60,F$4)</f>
        <v>0</v>
      </c>
      <c r="G6" s="69" t="n">
        <f aca="false">SUMIFS(Sourcing!$O$2:$O$60,Sourcing!$D$2:$D$60,$A6,Sourcing!$B$2:$B$60,G$4)</f>
        <v>0</v>
      </c>
      <c r="H6" s="69" t="n">
        <f aca="false">SUMIFS(Sourcing!$O$2:$O$60,Sourcing!$D$2:$D$60,$A6,Sourcing!$B$2:$B$60,H$4)</f>
        <v>0</v>
      </c>
      <c r="I6" s="69" t="n">
        <f aca="false">SUMIFS(Sourcing!$O$2:$O$60,Sourcing!$D$2:$D$60,$A6,Sourcing!$B$2:$B$60,I$4)</f>
        <v>538.526087804878</v>
      </c>
      <c r="J6" s="69" t="n">
        <f aca="false">SUMIFS(Sourcing!$O$2:$O$60,Sourcing!$D$2:$D$60,$A6,Sourcing!$B$2:$B$60,J$4)</f>
        <v>0</v>
      </c>
      <c r="K6" s="69" t="n">
        <f aca="false">SUMIFS(Sourcing!$O$2:$O$60,Sourcing!$D$2:$D$60,$A6,Sourcing!$B$2:$B$60,K$4)</f>
        <v>0</v>
      </c>
      <c r="L6" s="69" t="n">
        <f aca="false">SUMIFS(Sourcing!$O$2:$O$60,Sourcing!$D$2:$D$60,$A6,Sourcing!$B$2:$B$60,L$4)</f>
        <v>0</v>
      </c>
      <c r="M6" s="70" t="n">
        <f aca="false">SUM(C6:L6)</f>
        <v>1813.18510137631</v>
      </c>
      <c r="N6" s="32" t="n">
        <f aca="false">IF($M$15=0,0,M6/$M$15)</f>
        <v>0.112215992148922</v>
      </c>
    </row>
    <row r="7" customFormat="false" ht="15" hidden="false" customHeight="false" outlineLevel="0" collapsed="false">
      <c r="A7" s="6" t="s">
        <v>383</v>
      </c>
      <c r="B7" s="43" t="str">
        <f aca="false">INDEX(Suppliers!$B$2:$B$11,MATCH($A7,Suppliers!$A$2:$A$11,0))</f>
        <v>Deccan Aluminium Alloys Ltd</v>
      </c>
      <c r="C7" s="69" t="n">
        <f aca="false">SUMIFS(Sourcing!$O$2:$O$60,Sourcing!$D$2:$D$60,$A7,Sourcing!$B$2:$B$60,C$4)</f>
        <v>0</v>
      </c>
      <c r="D7" s="69" t="n">
        <f aca="false">SUMIFS(Sourcing!$O$2:$O$60,Sourcing!$D$2:$D$60,$A7,Sourcing!$B$2:$B$60,D$4)</f>
        <v>0</v>
      </c>
      <c r="E7" s="69" t="n">
        <f aca="false">SUMIFS(Sourcing!$O$2:$O$60,Sourcing!$D$2:$D$60,$A7,Sourcing!$B$2:$B$60,E$4)</f>
        <v>1453.50329347826</v>
      </c>
      <c r="F7" s="69" t="n">
        <f aca="false">SUMIFS(Sourcing!$O$2:$O$60,Sourcing!$D$2:$D$60,$A7,Sourcing!$B$2:$B$60,F$4)</f>
        <v>0</v>
      </c>
      <c r="G7" s="69" t="n">
        <f aca="false">SUMIFS(Sourcing!$O$2:$O$60,Sourcing!$D$2:$D$60,$A7,Sourcing!$B$2:$B$60,G$4)</f>
        <v>0</v>
      </c>
      <c r="H7" s="69" t="n">
        <f aca="false">SUMIFS(Sourcing!$O$2:$O$60,Sourcing!$D$2:$D$60,$A7,Sourcing!$B$2:$B$60,H$4)</f>
        <v>0</v>
      </c>
      <c r="I7" s="69" t="n">
        <f aca="false">SUMIFS(Sourcing!$O$2:$O$60,Sourcing!$D$2:$D$60,$A7,Sourcing!$B$2:$B$60,I$4)</f>
        <v>0</v>
      </c>
      <c r="J7" s="69" t="n">
        <f aca="false">SUMIFS(Sourcing!$O$2:$O$60,Sourcing!$D$2:$D$60,$A7,Sourcing!$B$2:$B$60,J$4)</f>
        <v>0</v>
      </c>
      <c r="K7" s="69" t="n">
        <f aca="false">SUMIFS(Sourcing!$O$2:$O$60,Sourcing!$D$2:$D$60,$A7,Sourcing!$B$2:$B$60,K$4)</f>
        <v>0</v>
      </c>
      <c r="L7" s="69" t="n">
        <f aca="false">SUMIFS(Sourcing!$O$2:$O$60,Sourcing!$D$2:$D$60,$A7,Sourcing!$B$2:$B$60,L$4)</f>
        <v>0</v>
      </c>
      <c r="M7" s="70" t="n">
        <f aca="false">SUM(C7:L7)</f>
        <v>1453.50329347826</v>
      </c>
      <c r="N7" s="32" t="n">
        <f aca="false">IF($M$15=0,0,M7/$M$15)</f>
        <v>0.089955688498423</v>
      </c>
    </row>
    <row r="8" customFormat="false" ht="15" hidden="false" customHeight="false" outlineLevel="0" collapsed="false">
      <c r="A8" s="6" t="s">
        <v>389</v>
      </c>
      <c r="B8" s="43" t="str">
        <f aca="false">INDEX(Suppliers!$B$2:$B$11,MATCH($A8,Suppliers!$A$2:$A$11,0))</f>
        <v>Bharat Metal Traders</v>
      </c>
      <c r="C8" s="69" t="n">
        <f aca="false">SUMIFS(Sourcing!$O$2:$O$60,Sourcing!$D$2:$D$60,$A8,Sourcing!$B$2:$B$60,C$4)</f>
        <v>0</v>
      </c>
      <c r="D8" s="69" t="n">
        <f aca="false">SUMIFS(Sourcing!$O$2:$O$60,Sourcing!$D$2:$D$60,$A8,Sourcing!$B$2:$B$60,D$4)</f>
        <v>0</v>
      </c>
      <c r="E8" s="69" t="n">
        <f aca="false">SUMIFS(Sourcing!$O$2:$O$60,Sourcing!$D$2:$D$60,$A8,Sourcing!$B$2:$B$60,E$4)</f>
        <v>812.991108695652</v>
      </c>
      <c r="F8" s="69" t="n">
        <f aca="false">SUMIFS(Sourcing!$O$2:$O$60,Sourcing!$D$2:$D$60,$A8,Sourcing!$B$2:$B$60,F$4)</f>
        <v>0</v>
      </c>
      <c r="G8" s="69" t="n">
        <f aca="false">SUMIFS(Sourcing!$O$2:$O$60,Sourcing!$D$2:$D$60,$A8,Sourcing!$B$2:$B$60,G$4)</f>
        <v>0</v>
      </c>
      <c r="H8" s="69" t="n">
        <f aca="false">SUMIFS(Sourcing!$O$2:$O$60,Sourcing!$D$2:$D$60,$A8,Sourcing!$B$2:$B$60,H$4)</f>
        <v>0</v>
      </c>
      <c r="I8" s="69" t="n">
        <f aca="false">SUMIFS(Sourcing!$O$2:$O$60,Sourcing!$D$2:$D$60,$A8,Sourcing!$B$2:$B$60,I$4)</f>
        <v>462.424741463415</v>
      </c>
      <c r="J8" s="69" t="n">
        <f aca="false">SUMIFS(Sourcing!$O$2:$O$60,Sourcing!$D$2:$D$60,$A8,Sourcing!$B$2:$B$60,J$4)</f>
        <v>142.158671875</v>
      </c>
      <c r="K8" s="69" t="n">
        <f aca="false">SUMIFS(Sourcing!$O$2:$O$60,Sourcing!$D$2:$D$60,$A8,Sourcing!$B$2:$B$60,K$4)</f>
        <v>0</v>
      </c>
      <c r="L8" s="69" t="n">
        <f aca="false">SUMIFS(Sourcing!$O$2:$O$60,Sourcing!$D$2:$D$60,$A8,Sourcing!$B$2:$B$60,L$4)</f>
        <v>0</v>
      </c>
      <c r="M8" s="70" t="n">
        <f aca="false">SUM(C8:L8)</f>
        <v>1417.57452203407</v>
      </c>
      <c r="N8" s="32" t="n">
        <f aca="false">IF($M$15=0,0,M8/$M$15)</f>
        <v>0.0877320971335691</v>
      </c>
    </row>
    <row r="9" customFormat="false" ht="15" hidden="false" customHeight="false" outlineLevel="0" collapsed="false">
      <c r="A9" s="6" t="s">
        <v>394</v>
      </c>
      <c r="B9" s="43" t="str">
        <f aca="false">INDEX(Suppliers!$B$2:$B$11,MATCH($A9,Suppliers!$A$2:$A$11,0))</f>
        <v>Vadodara Winding &amp; Resistance Wires Ltd</v>
      </c>
      <c r="C9" s="69" t="n">
        <f aca="false">SUMIFS(Sourcing!$O$2:$O$60,Sourcing!$D$2:$D$60,$A9,Sourcing!$B$2:$B$60,C$4)</f>
        <v>0</v>
      </c>
      <c r="D9" s="69" t="n">
        <f aca="false">SUMIFS(Sourcing!$O$2:$O$60,Sourcing!$D$2:$D$60,$A9,Sourcing!$B$2:$B$60,D$4)</f>
        <v>0</v>
      </c>
      <c r="E9" s="69" t="n">
        <f aca="false">SUMIFS(Sourcing!$O$2:$O$60,Sourcing!$D$2:$D$60,$A9,Sourcing!$B$2:$B$60,E$4)</f>
        <v>0</v>
      </c>
      <c r="F9" s="69" t="n">
        <f aca="false">SUMIFS(Sourcing!$O$2:$O$60,Sourcing!$D$2:$D$60,$A9,Sourcing!$B$2:$B$60,F$4)</f>
        <v>4975.11776785714</v>
      </c>
      <c r="G9" s="69" t="n">
        <f aca="false">SUMIFS(Sourcing!$O$2:$O$60,Sourcing!$D$2:$D$60,$A9,Sourcing!$B$2:$B$60,G$4)</f>
        <v>0</v>
      </c>
      <c r="H9" s="69" t="n">
        <f aca="false">SUMIFS(Sourcing!$O$2:$O$60,Sourcing!$D$2:$D$60,$A9,Sourcing!$B$2:$B$60,H$4)</f>
        <v>0</v>
      </c>
      <c r="I9" s="69" t="n">
        <f aca="false">SUMIFS(Sourcing!$O$2:$O$60,Sourcing!$D$2:$D$60,$A9,Sourcing!$B$2:$B$60,I$4)</f>
        <v>0</v>
      </c>
      <c r="J9" s="69" t="n">
        <f aca="false">SUMIFS(Sourcing!$O$2:$O$60,Sourcing!$D$2:$D$60,$A9,Sourcing!$B$2:$B$60,J$4)</f>
        <v>316.275494791667</v>
      </c>
      <c r="K9" s="69" t="n">
        <f aca="false">SUMIFS(Sourcing!$O$2:$O$60,Sourcing!$D$2:$D$60,$A9,Sourcing!$B$2:$B$60,K$4)</f>
        <v>0</v>
      </c>
      <c r="L9" s="69" t="n">
        <f aca="false">SUMIFS(Sourcing!$O$2:$O$60,Sourcing!$D$2:$D$60,$A9,Sourcing!$B$2:$B$60,L$4)</f>
        <v>0</v>
      </c>
      <c r="M9" s="70" t="n">
        <f aca="false">SUM(C9:L9)</f>
        <v>5291.39326264881</v>
      </c>
      <c r="N9" s="32" t="n">
        <f aca="false">IF($M$15=0,0,M9/$M$15)</f>
        <v>0.327478393886838</v>
      </c>
    </row>
    <row r="10" customFormat="false" ht="15" hidden="false" customHeight="false" outlineLevel="0" collapsed="false">
      <c r="A10" s="6" t="s">
        <v>400</v>
      </c>
      <c r="B10" s="43" t="str">
        <f aca="false">INDEX(Suppliers!$B$2:$B$11,MATCH($A10,Suppliers!$A$2:$A$11,0))</f>
        <v>Coimbatore Magnet Wires Pvt Ltd</v>
      </c>
      <c r="C10" s="69" t="n">
        <f aca="false">SUMIFS(Sourcing!$O$2:$O$60,Sourcing!$D$2:$D$60,$A10,Sourcing!$B$2:$B$60,C$4)</f>
        <v>0</v>
      </c>
      <c r="D10" s="69" t="n">
        <f aca="false">SUMIFS(Sourcing!$O$2:$O$60,Sourcing!$D$2:$D$60,$A10,Sourcing!$B$2:$B$60,D$4)</f>
        <v>0</v>
      </c>
      <c r="E10" s="69" t="n">
        <f aca="false">SUMIFS(Sourcing!$O$2:$O$60,Sourcing!$D$2:$D$60,$A10,Sourcing!$B$2:$B$60,E$4)</f>
        <v>0</v>
      </c>
      <c r="F10" s="69" t="n">
        <f aca="false">SUMIFS(Sourcing!$O$2:$O$60,Sourcing!$D$2:$D$60,$A10,Sourcing!$B$2:$B$60,F$4)</f>
        <v>1689.54500637755</v>
      </c>
      <c r="G10" s="69" t="n">
        <f aca="false">SUMIFS(Sourcing!$O$2:$O$60,Sourcing!$D$2:$D$60,$A10,Sourcing!$B$2:$B$60,G$4)</f>
        <v>0</v>
      </c>
      <c r="H10" s="69" t="n">
        <f aca="false">SUMIFS(Sourcing!$O$2:$O$60,Sourcing!$D$2:$D$60,$A10,Sourcing!$B$2:$B$60,H$4)</f>
        <v>0</v>
      </c>
      <c r="I10" s="69" t="n">
        <f aca="false">SUMIFS(Sourcing!$O$2:$O$60,Sourcing!$D$2:$D$60,$A10,Sourcing!$B$2:$B$60,I$4)</f>
        <v>0</v>
      </c>
      <c r="J10" s="69" t="n">
        <f aca="false">SUMIFS(Sourcing!$O$2:$O$60,Sourcing!$D$2:$D$60,$A10,Sourcing!$B$2:$B$60,J$4)</f>
        <v>0</v>
      </c>
      <c r="K10" s="69" t="n">
        <f aca="false">SUMIFS(Sourcing!$O$2:$O$60,Sourcing!$D$2:$D$60,$A10,Sourcing!$B$2:$B$60,K$4)</f>
        <v>0</v>
      </c>
      <c r="L10" s="69" t="n">
        <f aca="false">SUMIFS(Sourcing!$O$2:$O$60,Sourcing!$D$2:$D$60,$A10,Sourcing!$B$2:$B$60,L$4)</f>
        <v>0</v>
      </c>
      <c r="M10" s="70" t="n">
        <f aca="false">SUM(C10:L10)</f>
        <v>1689.54500637755</v>
      </c>
      <c r="N10" s="32" t="n">
        <f aca="false">IF($M$15=0,0,M10/$M$15)</f>
        <v>0.104564045351465</v>
      </c>
    </row>
    <row r="11" customFormat="false" ht="15" hidden="false" customHeight="false" outlineLevel="0" collapsed="false">
      <c r="A11" s="6" t="s">
        <v>405</v>
      </c>
      <c r="B11" s="43" t="str">
        <f aca="false">INDEX(Suppliers!$B$2:$B$11,MATCH($A11,Suppliers!$A$2:$A$11,0))</f>
        <v>Mumbai Polymer Distribution Co.</v>
      </c>
      <c r="C11" s="69" t="n">
        <f aca="false">SUMIFS(Sourcing!$O$2:$O$60,Sourcing!$D$2:$D$60,$A11,Sourcing!$B$2:$B$60,C$4)</f>
        <v>0</v>
      </c>
      <c r="D11" s="69" t="n">
        <f aca="false">SUMIFS(Sourcing!$O$2:$O$60,Sourcing!$D$2:$D$60,$A11,Sourcing!$B$2:$B$60,D$4)</f>
        <v>0</v>
      </c>
      <c r="E11" s="69" t="n">
        <f aca="false">SUMIFS(Sourcing!$O$2:$O$60,Sourcing!$D$2:$D$60,$A11,Sourcing!$B$2:$B$60,E$4)</f>
        <v>0</v>
      </c>
      <c r="F11" s="69" t="n">
        <f aca="false">SUMIFS(Sourcing!$O$2:$O$60,Sourcing!$D$2:$D$60,$A11,Sourcing!$B$2:$B$60,F$4)</f>
        <v>0</v>
      </c>
      <c r="G11" s="69" t="n">
        <f aca="false">SUMIFS(Sourcing!$O$2:$O$60,Sourcing!$D$2:$D$60,$A11,Sourcing!$B$2:$B$60,G$4)</f>
        <v>621.275678350516</v>
      </c>
      <c r="H11" s="69" t="n">
        <f aca="false">SUMIFS(Sourcing!$O$2:$O$60,Sourcing!$D$2:$D$60,$A11,Sourcing!$B$2:$B$60,H$4)</f>
        <v>445.723793814433</v>
      </c>
      <c r="I11" s="69" t="n">
        <f aca="false">SUMIFS(Sourcing!$O$2:$O$60,Sourcing!$D$2:$D$60,$A11,Sourcing!$B$2:$B$60,I$4)</f>
        <v>0</v>
      </c>
      <c r="J11" s="69" t="n">
        <f aca="false">SUMIFS(Sourcing!$O$2:$O$60,Sourcing!$D$2:$D$60,$A11,Sourcing!$B$2:$B$60,J$4)</f>
        <v>0</v>
      </c>
      <c r="K11" s="69" t="n">
        <f aca="false">SUMIFS(Sourcing!$O$2:$O$60,Sourcing!$D$2:$D$60,$A11,Sourcing!$B$2:$B$60,K$4)</f>
        <v>0</v>
      </c>
      <c r="L11" s="69" t="n">
        <f aca="false">SUMIFS(Sourcing!$O$2:$O$60,Sourcing!$D$2:$D$60,$A11,Sourcing!$B$2:$B$60,L$4)</f>
        <v>0</v>
      </c>
      <c r="M11" s="70" t="n">
        <f aca="false">SUM(C11:L11)</f>
        <v>1066.99947216495</v>
      </c>
      <c r="N11" s="32" t="n">
        <f aca="false">IF($M$15=0,0,M11/$M$15)</f>
        <v>0.0660354005228041</v>
      </c>
    </row>
    <row r="12" customFormat="false" ht="15" hidden="false" customHeight="false" outlineLevel="0" collapsed="false">
      <c r="A12" s="6" t="s">
        <v>410</v>
      </c>
      <c r="B12" s="43" t="str">
        <f aca="false">INDEX(Suppliers!$B$2:$B$11,MATCH($A12,Suppliers!$A$2:$A$11,0))</f>
        <v>Pacific Engineering Plastics Co. Ltd</v>
      </c>
      <c r="C12" s="69" t="n">
        <f aca="false">SUMIFS(Sourcing!$O$2:$O$60,Sourcing!$D$2:$D$60,$A12,Sourcing!$B$2:$B$60,C$4)</f>
        <v>0</v>
      </c>
      <c r="D12" s="69" t="n">
        <f aca="false">SUMIFS(Sourcing!$O$2:$O$60,Sourcing!$D$2:$D$60,$A12,Sourcing!$B$2:$B$60,D$4)</f>
        <v>0</v>
      </c>
      <c r="E12" s="69" t="n">
        <f aca="false">SUMIFS(Sourcing!$O$2:$O$60,Sourcing!$D$2:$D$60,$A12,Sourcing!$B$2:$B$60,E$4)</f>
        <v>0</v>
      </c>
      <c r="F12" s="69" t="n">
        <f aca="false">SUMIFS(Sourcing!$O$2:$O$60,Sourcing!$D$2:$D$60,$A12,Sourcing!$B$2:$B$60,F$4)</f>
        <v>0</v>
      </c>
      <c r="G12" s="69" t="n">
        <f aca="false">SUMIFS(Sourcing!$O$2:$O$60,Sourcing!$D$2:$D$60,$A12,Sourcing!$B$2:$B$60,G$4)</f>
        <v>148.128228865979</v>
      </c>
      <c r="H12" s="69" t="n">
        <f aca="false">SUMIFS(Sourcing!$O$2:$O$60,Sourcing!$D$2:$D$60,$A12,Sourcing!$B$2:$B$60,H$4)</f>
        <v>627.314969072165</v>
      </c>
      <c r="I12" s="69" t="n">
        <f aca="false">SUMIFS(Sourcing!$O$2:$O$60,Sourcing!$D$2:$D$60,$A12,Sourcing!$B$2:$B$60,I$4)</f>
        <v>0</v>
      </c>
      <c r="J12" s="69" t="n">
        <f aca="false">SUMIFS(Sourcing!$O$2:$O$60,Sourcing!$D$2:$D$60,$A12,Sourcing!$B$2:$B$60,J$4)</f>
        <v>0</v>
      </c>
      <c r="K12" s="69" t="n">
        <f aca="false">SUMIFS(Sourcing!$O$2:$O$60,Sourcing!$D$2:$D$60,$A12,Sourcing!$B$2:$B$60,K$4)</f>
        <v>0</v>
      </c>
      <c r="L12" s="69" t="n">
        <f aca="false">SUMIFS(Sourcing!$O$2:$O$60,Sourcing!$D$2:$D$60,$A12,Sourcing!$B$2:$B$60,L$4)</f>
        <v>0</v>
      </c>
      <c r="M12" s="70" t="n">
        <f aca="false">SUM(C12:L12)</f>
        <v>775.443197938144</v>
      </c>
      <c r="N12" s="32" t="n">
        <f aca="false">IF($M$15=0,0,M12/$M$15)</f>
        <v>0.0479913097376053</v>
      </c>
    </row>
    <row r="13" customFormat="false" ht="15" hidden="false" customHeight="false" outlineLevel="0" collapsed="false">
      <c r="A13" s="6" t="s">
        <v>416</v>
      </c>
      <c r="B13" s="43" t="str">
        <f aca="false">INDEX(Suppliers!$B$2:$B$11,MATCH($A13,Suppliers!$A$2:$A$11,0))</f>
        <v>Ahmedabad Coatings &amp; Powders Pvt Ltd</v>
      </c>
      <c r="C13" s="69" t="n">
        <f aca="false">SUMIFS(Sourcing!$O$2:$O$60,Sourcing!$D$2:$D$60,$A13,Sourcing!$B$2:$B$60,C$4)</f>
        <v>0</v>
      </c>
      <c r="D13" s="69" t="n">
        <f aca="false">SUMIFS(Sourcing!$O$2:$O$60,Sourcing!$D$2:$D$60,$A13,Sourcing!$B$2:$B$60,D$4)</f>
        <v>0</v>
      </c>
      <c r="E13" s="69" t="n">
        <f aca="false">SUMIFS(Sourcing!$O$2:$O$60,Sourcing!$D$2:$D$60,$A13,Sourcing!$B$2:$B$60,E$4)</f>
        <v>0</v>
      </c>
      <c r="F13" s="69" t="n">
        <f aca="false">SUMIFS(Sourcing!$O$2:$O$60,Sourcing!$D$2:$D$60,$A13,Sourcing!$B$2:$B$60,F$4)</f>
        <v>0</v>
      </c>
      <c r="G13" s="69" t="n">
        <f aca="false">SUMIFS(Sourcing!$O$2:$O$60,Sourcing!$D$2:$D$60,$A13,Sourcing!$B$2:$B$60,G$4)</f>
        <v>0</v>
      </c>
      <c r="H13" s="69" t="n">
        <f aca="false">SUMIFS(Sourcing!$O$2:$O$60,Sourcing!$D$2:$D$60,$A13,Sourcing!$B$2:$B$60,H$4)</f>
        <v>0</v>
      </c>
      <c r="I13" s="69" t="n">
        <f aca="false">SUMIFS(Sourcing!$O$2:$O$60,Sourcing!$D$2:$D$60,$A13,Sourcing!$B$2:$B$60,I$4)</f>
        <v>0</v>
      </c>
      <c r="J13" s="69" t="n">
        <f aca="false">SUMIFS(Sourcing!$O$2:$O$60,Sourcing!$D$2:$D$60,$A13,Sourcing!$B$2:$B$60,J$4)</f>
        <v>0</v>
      </c>
      <c r="K13" s="69" t="n">
        <f aca="false">SUMIFS(Sourcing!$O$2:$O$60,Sourcing!$D$2:$D$60,$A13,Sourcing!$B$2:$B$60,K$4)</f>
        <v>314.2475625</v>
      </c>
      <c r="L13" s="69" t="n">
        <f aca="false">SUMIFS(Sourcing!$O$2:$O$60,Sourcing!$D$2:$D$60,$A13,Sourcing!$B$2:$B$60,L$4)</f>
        <v>0</v>
      </c>
      <c r="M13" s="70" t="n">
        <f aca="false">SUM(C13:L13)</f>
        <v>314.2475625</v>
      </c>
      <c r="N13" s="32" t="n">
        <f aca="false">IF($M$15=0,0,M13/$M$15)</f>
        <v>0.0194484291645408</v>
      </c>
    </row>
    <row r="14" customFormat="false" ht="15" hidden="false" customHeight="false" outlineLevel="0" collapsed="false">
      <c r="A14" s="6" t="s">
        <v>421</v>
      </c>
      <c r="B14" s="43" t="str">
        <f aca="false">INDEX(Suppliers!$B$2:$B$11,MATCH($A14,Suppliers!$A$2:$A$11,0))</f>
        <v>Bhiwandi Packaging Industries</v>
      </c>
      <c r="C14" s="69" t="n">
        <f aca="false">SUMIFS(Sourcing!$O$2:$O$60,Sourcing!$D$2:$D$60,$A14,Sourcing!$B$2:$B$60,C$4)</f>
        <v>0</v>
      </c>
      <c r="D14" s="69" t="n">
        <f aca="false">SUMIFS(Sourcing!$O$2:$O$60,Sourcing!$D$2:$D$60,$A14,Sourcing!$B$2:$B$60,D$4)</f>
        <v>0</v>
      </c>
      <c r="E14" s="69" t="n">
        <f aca="false">SUMIFS(Sourcing!$O$2:$O$60,Sourcing!$D$2:$D$60,$A14,Sourcing!$B$2:$B$60,E$4)</f>
        <v>0</v>
      </c>
      <c r="F14" s="69" t="n">
        <f aca="false">SUMIFS(Sourcing!$O$2:$O$60,Sourcing!$D$2:$D$60,$A14,Sourcing!$B$2:$B$60,F$4)</f>
        <v>0</v>
      </c>
      <c r="G14" s="69" t="n">
        <f aca="false">SUMIFS(Sourcing!$O$2:$O$60,Sourcing!$D$2:$D$60,$A14,Sourcing!$B$2:$B$60,G$4)</f>
        <v>0</v>
      </c>
      <c r="H14" s="69" t="n">
        <f aca="false">SUMIFS(Sourcing!$O$2:$O$60,Sourcing!$D$2:$D$60,$A14,Sourcing!$B$2:$B$60,H$4)</f>
        <v>0</v>
      </c>
      <c r="I14" s="69" t="n">
        <f aca="false">SUMIFS(Sourcing!$O$2:$O$60,Sourcing!$D$2:$D$60,$A14,Sourcing!$B$2:$B$60,I$4)</f>
        <v>0</v>
      </c>
      <c r="J14" s="69" t="n">
        <f aca="false">SUMIFS(Sourcing!$O$2:$O$60,Sourcing!$D$2:$D$60,$A14,Sourcing!$B$2:$B$60,J$4)</f>
        <v>0</v>
      </c>
      <c r="K14" s="69" t="n">
        <f aca="false">SUMIFS(Sourcing!$O$2:$O$60,Sourcing!$D$2:$D$60,$A14,Sourcing!$B$2:$B$60,K$4)</f>
        <v>0</v>
      </c>
      <c r="L14" s="69" t="n">
        <f aca="false">SUMIFS(Sourcing!$O$2:$O$60,Sourcing!$D$2:$D$60,$A14,Sourcing!$B$2:$B$60,L$4)</f>
        <v>795.325257731959</v>
      </c>
      <c r="M14" s="70" t="n">
        <f aca="false">SUM(C14:L14)</f>
        <v>795.325257731959</v>
      </c>
      <c r="N14" s="32" t="n">
        <f aca="false">IF($M$15=0,0,M14/$M$15)</f>
        <v>0.0492217881173546</v>
      </c>
    </row>
    <row r="15" customFormat="false" ht="15" hidden="false" customHeight="false" outlineLevel="0" collapsed="false">
      <c r="A15" s="46" t="s">
        <v>692</v>
      </c>
      <c r="B15" s="82" t="s">
        <v>758</v>
      </c>
      <c r="C15" s="50" t="n">
        <f aca="false">SUM(C5:C14)</f>
        <v>1255.15389857143</v>
      </c>
      <c r="D15" s="50" t="n">
        <f aca="false">SUM(D5:D14)</f>
        <v>1560.28042058824</v>
      </c>
      <c r="E15" s="50" t="n">
        <f aca="false">SUM(E5:E14)</f>
        <v>2266.49440217391</v>
      </c>
      <c r="F15" s="50" t="n">
        <f aca="false">SUM(F5:F14)</f>
        <v>6664.66277423469</v>
      </c>
      <c r="G15" s="50" t="n">
        <f aca="false">SUM(G5:G14)</f>
        <v>769.403907216495</v>
      </c>
      <c r="H15" s="50" t="n">
        <f aca="false">SUM(H5:H14)</f>
        <v>1073.0387628866</v>
      </c>
      <c r="I15" s="50" t="n">
        <f aca="false">SUM(I5:I14)</f>
        <v>1000.95082926829</v>
      </c>
      <c r="J15" s="50" t="n">
        <f aca="false">SUM(J5:J14)</f>
        <v>458.434166666667</v>
      </c>
      <c r="K15" s="50" t="n">
        <f aca="false">SUM(K5:K14)</f>
        <v>314.2475625</v>
      </c>
      <c r="L15" s="50" t="n">
        <f aca="false">SUM(L5:L14)</f>
        <v>795.325257731959</v>
      </c>
      <c r="M15" s="50" t="n">
        <f aca="false">SUM(M5:M14)</f>
        <v>16157.9919818383</v>
      </c>
      <c r="N15" s="48" t="n">
        <f aca="false">SUM(N5:N14)</f>
        <v>1</v>
      </c>
    </row>
    <row r="16" customFormat="false" ht="15" hidden="false" customHeight="false" outlineLevel="0" collapsed="false">
      <c r="A16" s="46" t="s">
        <v>759</v>
      </c>
      <c r="B16" s="47"/>
      <c r="C16" s="92" t="n">
        <f aca="false">IF($M$15=0,0,C$15/$M$15)</f>
        <v>0.0776800669280089</v>
      </c>
      <c r="D16" s="92" t="n">
        <f aca="false">IF($M$15=0,0,D$15/$M$15)</f>
        <v>0.0965640051277414</v>
      </c>
      <c r="E16" s="92" t="n">
        <f aca="false">IF($M$15=0,0,E$15/$M$15)</f>
        <v>0.140270796316861</v>
      </c>
      <c r="F16" s="92" t="n">
        <f aca="false">IF($M$15=0,0,F$15/$M$15)</f>
        <v>0.41246850361888</v>
      </c>
      <c r="G16" s="92" t="n">
        <f aca="false">IF($M$15=0,0,G$15/$M$15)</f>
        <v>0.0476175448088668</v>
      </c>
      <c r="H16" s="92" t="n">
        <f aca="false">IF($M$15=0,0,H$15/$M$15)</f>
        <v>0.0664091654515426</v>
      </c>
      <c r="I16" s="92" t="n">
        <f aca="false">IF($M$15=0,0,I$15/$M$15)</f>
        <v>0.0619477240979801</v>
      </c>
      <c r="J16" s="92" t="n">
        <f aca="false">IF($M$15=0,0,J$15/$M$15)</f>
        <v>0.0283719763682239</v>
      </c>
      <c r="K16" s="92" t="n">
        <f aca="false">IF($M$15=0,0,K$15/$M$15)</f>
        <v>0.0194484291645408</v>
      </c>
      <c r="L16" s="92" t="n">
        <f aca="false">IF($M$15=0,0,L$15/$M$15)</f>
        <v>0.0492217881173546</v>
      </c>
      <c r="M16" s="92" t="n">
        <f aca="false">IF($M$15=0,0,M$15/$M$15)</f>
        <v>1</v>
      </c>
    </row>
    <row r="17" customFormat="false" ht="15" hidden="false" customHeight="false" outlineLevel="0" collapsed="false">
      <c r="A17" s="46" t="s">
        <v>760</v>
      </c>
      <c r="B17" s="47"/>
      <c r="C17" s="92" t="n">
        <f aca="false">IF(C$15=0,0,MAX(C5:C14)/C$15)</f>
        <v>0.682012847965739</v>
      </c>
      <c r="D17" s="92" t="n">
        <f aca="false">IF(D$15=0,0,MAX(D5:D14)/D$15)</f>
        <v>0.561140285071268</v>
      </c>
      <c r="E17" s="92" t="n">
        <f aca="false">IF(E$15=0,0,MAX(E5:E14)/E$15)</f>
        <v>0.641300191204589</v>
      </c>
      <c r="F17" s="92" t="n">
        <f aca="false">IF(F$15=0,0,MAX(F5:F14)/F$15)</f>
        <v>0.746492048643592</v>
      </c>
      <c r="G17" s="92" t="n">
        <f aca="false">IF(G$15=0,0,MAX(G5:G14)/G$15)</f>
        <v>0.807476635514019</v>
      </c>
      <c r="H17" s="92" t="n">
        <f aca="false">IF(H$15=0,0,MAX(H5:H14)/H$15)</f>
        <v>0.584615384615385</v>
      </c>
      <c r="I17" s="92" t="n">
        <f aca="false">IF(I$15=0,0,MAX(I5:I14)/I$15)</f>
        <v>0.538014527845036</v>
      </c>
      <c r="J17" s="92" t="n">
        <f aca="false">IF(J$15=0,0,MAX(J5:J14)/J$15)</f>
        <v>0.689903846153846</v>
      </c>
      <c r="K17" s="92" t="n">
        <f aca="false">IF(K$15=0,0,MAX(K5:K14)/K$15)</f>
        <v>1</v>
      </c>
      <c r="L17" s="92" t="n">
        <f aca="false">IF(L$15=0,0,MAX(L5:L14)/L$15)</f>
        <v>1</v>
      </c>
      <c r="M17" s="92" t="n">
        <f aca="false">IF(M$15=0,0,MAX(M5:M14)/M$15)</f>
        <v>0.327478393886838</v>
      </c>
    </row>
    <row r="18" customFormat="false" ht="15" hidden="false" customHeight="false" outlineLevel="0" collapsed="false">
      <c r="A18" s="46" t="s">
        <v>761</v>
      </c>
      <c r="B18" s="47"/>
      <c r="C18" s="93" t="str">
        <f aca="false">INDEX($A$5:$A$14,MATCH(MAX(C5:C14),C5:C14,0))</f>
        <v>S01</v>
      </c>
      <c r="D18" s="93" t="str">
        <f aca="false">INDEX($A$5:$A$14,MATCH(MAX(D5:D14),D5:D14,0))</f>
        <v>S02</v>
      </c>
      <c r="E18" s="93" t="str">
        <f aca="false">INDEX($A$5:$A$14,MATCH(MAX(E5:E14),E5:E14,0))</f>
        <v>S03</v>
      </c>
      <c r="F18" s="93" t="str">
        <f aca="false">INDEX($A$5:$A$14,MATCH(MAX(F5:F14),F5:F14,0))</f>
        <v>S05</v>
      </c>
      <c r="G18" s="93" t="str">
        <f aca="false">INDEX($A$5:$A$14,MATCH(MAX(G5:G14),G5:G14,0))</f>
        <v>S07</v>
      </c>
      <c r="H18" s="93" t="str">
        <f aca="false">INDEX($A$5:$A$14,MATCH(MAX(H5:H14),H5:H14,0))</f>
        <v>S08</v>
      </c>
      <c r="I18" s="93" t="str">
        <f aca="false">INDEX($A$5:$A$14,MATCH(MAX(I5:I14),I5:I14,0))</f>
        <v>S02</v>
      </c>
      <c r="J18" s="93" t="str">
        <f aca="false">INDEX($A$5:$A$14,MATCH(MAX(J5:J14),J5:J14,0))</f>
        <v>S05</v>
      </c>
      <c r="K18" s="93" t="str">
        <f aca="false">INDEX($A$5:$A$14,MATCH(MAX(K5:K14),K5:K14,0))</f>
        <v>S09</v>
      </c>
      <c r="L18" s="93" t="str">
        <f aca="false">INDEX($A$5:$A$14,MATCH(MAX(L5:L14),L5:L14,0))</f>
        <v>S10</v>
      </c>
      <c r="M18" s="93" t="str">
        <f aca="false">INDEX($A$5:$A$14,MATCH(MAX(M5:M14),M5:M14,0))</f>
        <v>S05</v>
      </c>
    </row>
    <row r="19" customFormat="false" ht="15" hidden="false" customHeight="false" outlineLevel="0" collapsed="false">
      <c r="A19" s="46" t="s">
        <v>762</v>
      </c>
      <c r="B19" s="47"/>
      <c r="C19" s="67" t="n">
        <f aca="false">COUNTIF(C5:C14,"&gt;0")</f>
        <v>2</v>
      </c>
      <c r="D19" s="67" t="n">
        <f aca="false">COUNTIF(D5:D14,"&gt;0")</f>
        <v>2</v>
      </c>
      <c r="E19" s="67" t="n">
        <f aca="false">COUNTIF(E5:E14,"&gt;0")</f>
        <v>2</v>
      </c>
      <c r="F19" s="67" t="n">
        <f aca="false">COUNTIF(F5:F14,"&gt;0")</f>
        <v>2</v>
      </c>
      <c r="G19" s="67" t="n">
        <f aca="false">COUNTIF(G5:G14,"&gt;0")</f>
        <v>2</v>
      </c>
      <c r="H19" s="67" t="n">
        <f aca="false">COUNTIF(H5:H14,"&gt;0")</f>
        <v>2</v>
      </c>
      <c r="I19" s="67" t="n">
        <f aca="false">COUNTIF(I5:I14,"&gt;0")</f>
        <v>2</v>
      </c>
      <c r="J19" s="67" t="n">
        <f aca="false">COUNTIF(J5:J14,"&gt;0")</f>
        <v>2</v>
      </c>
      <c r="K19" s="67" t="n">
        <f aca="false">COUNTIF(K5:K14,"&gt;0")</f>
        <v>1</v>
      </c>
      <c r="L19" s="67" t="n">
        <f aca="false">COUNTIF(L5:L14,"&gt;0")</f>
        <v>1</v>
      </c>
      <c r="M19" s="67" t="n">
        <f aca="false">COUNTIF(M5:M14,"&gt;0")</f>
        <v>10</v>
      </c>
    </row>
    <row r="20" customFormat="false" ht="15" hidden="false" customHeight="false" outlineLevel="0" collapsed="false">
      <c r="A20" s="46" t="s">
        <v>763</v>
      </c>
      <c r="B20" s="47"/>
      <c r="C20" s="94" t="n">
        <f aca="false">IF(C$15=0,0,SUMPRODUCT((C5:C14/C$15)^2))</f>
        <v>0.566257353649198</v>
      </c>
      <c r="D20" s="94" t="n">
        <f aca="false">IF(D$15=0,0,SUMPRODUCT((D5:D14/D$15)^2))</f>
        <v>0.507476268917192</v>
      </c>
      <c r="E20" s="94" t="n">
        <f aca="false">IF(E$15=0,0,SUMPRODUCT((E5:E14/E$15)^2))</f>
        <v>0.539931488068907</v>
      </c>
      <c r="F20" s="94" t="n">
        <f aca="false">IF(F$15=0,0,SUMPRODUCT((F5:F14/F$15)^2))</f>
        <v>0.62151666008903</v>
      </c>
      <c r="G20" s="94" t="n">
        <f aca="false">IF(G$15=0,0,SUMPRODUCT((G5:G14/G$15)^2))</f>
        <v>0.689083762774041</v>
      </c>
      <c r="H20" s="94" t="n">
        <f aca="false">IF(H$15=0,0,SUMPRODUCT((H5:H14/H$15)^2))</f>
        <v>0.514319526627219</v>
      </c>
      <c r="I20" s="94" t="n">
        <f aca="false">IF(I$15=0,0,SUMPRODUCT((I5:I14/I$15)^2))</f>
        <v>0.502890208654562</v>
      </c>
      <c r="J20" s="94" t="n">
        <f aca="false">IF(J$15=0,0,SUMPRODUCT((J5:J14/J$15)^2))</f>
        <v>0.572126941568047</v>
      </c>
      <c r="K20" s="94" t="n">
        <f aca="false">IF(K$15=0,0,SUMPRODUCT((K5:K14/K$15)^2))</f>
        <v>1</v>
      </c>
      <c r="L20" s="94" t="n">
        <f aca="false">IF(L$15=0,0,SUMPRODUCT((L5:L14/L$15)^2))</f>
        <v>1</v>
      </c>
      <c r="M20" s="94" t="n">
        <f aca="false">IF(M$15=0,0,SUMPRODUCT((M5:M14/M$15)^2))</f>
        <v>0.165114909331703</v>
      </c>
    </row>
    <row r="22" customFormat="false" ht="15" hidden="false" customHeight="false" outlineLevel="0" collapsed="false">
      <c r="A22" s="27" t="s">
        <v>764</v>
      </c>
    </row>
    <row r="23" customFormat="false" ht="15" hidden="false" customHeight="false" outlineLevel="0" collapsed="false">
      <c r="A23" s="27" t="s">
        <v>765</v>
      </c>
    </row>
  </sheetData>
  <conditionalFormatting sqref="C17:L17">
    <cfRule type="cellIs" priority="2" operator="greaterThanOrEqual" aboveAverage="0" equalAverage="0" bottom="0" percent="0" rank="0" text="" dxfId="12">
      <formula>0.7</formula>
    </cfRule>
  </conditionalFormatting>
  <conditionalFormatting sqref="C5:L14">
    <cfRule type="cellIs" priority="3" operator="greaterThanOrEqual" aboveAverage="0" equalAverage="0" bottom="0" percent="0" rank="0" text="" dxfId="15">
      <formula>2000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2"/>
    <col collapsed="false" customWidth="true" hidden="false" outlineLevel="0" max="3" min="3" style="0" width="10"/>
    <col collapsed="false" customWidth="true" hidden="false" outlineLevel="0" max="4" min="4" style="0" width="22"/>
  </cols>
  <sheetData>
    <row r="1" customFormat="false" ht="24" hidden="false" customHeight="true" outlineLevel="0" collapsed="false">
      <c r="A1" s="34" t="s">
        <v>97</v>
      </c>
    </row>
    <row r="2" customFormat="false" ht="15" hidden="false" customHeight="false" outlineLevel="0" collapsed="false">
      <c r="A2" s="35" t="s">
        <v>766</v>
      </c>
    </row>
    <row r="3" customFormat="false" ht="15" hidden="false" customHeight="false" outlineLevel="0" collapsed="false">
      <c r="A3" s="28" t="s">
        <v>767</v>
      </c>
      <c r="B3" s="95" t="str">
        <f aca="false">IF(COUNTIF(C5:C37,"PASS")=ROWS(C5:C37),"ALL "&amp;ROWS(C5:C37)&amp;" CHECKS PASS",(ROWS(C5:C37)-COUNTIF(C5:C37,"PASS"))&amp;" CHECK(S) FAILING - see below")</f>
        <v>ALL 33 CHECKS PASS</v>
      </c>
    </row>
    <row r="4" customFormat="false" ht="21.75" hidden="false" customHeight="true" outlineLevel="0" collapsed="false">
      <c r="A4" s="8" t="s">
        <v>768</v>
      </c>
      <c r="B4" s="8" t="s">
        <v>769</v>
      </c>
      <c r="C4" s="8" t="s">
        <v>770</v>
      </c>
      <c r="D4" s="8" t="s">
        <v>771</v>
      </c>
    </row>
    <row r="5" customFormat="false" ht="18" hidden="false" customHeight="true" outlineLevel="0" collapsed="false">
      <c r="A5" s="10" t="n">
        <v>1</v>
      </c>
      <c r="B5" s="11" t="s">
        <v>772</v>
      </c>
      <c r="C5" s="84" t="str">
        <f aca="false">IFERROR(IF(AND(COUNTA(Products!$A$2:$A$16)=15,SUMPRODUCT(--(COUNTIF(Products!$A$2:$A$16,Products!$A$2:$A$16)&gt;1))=0),"PASS","FAIL"),"FAIL")</f>
        <v>PASS</v>
      </c>
      <c r="D5" s="29" t="n">
        <f aca="false">COUNTA(Products!$A$2:$A$16)</f>
        <v>15</v>
      </c>
    </row>
    <row r="6" customFormat="false" ht="18" hidden="false" customHeight="true" outlineLevel="0" collapsed="false">
      <c r="A6" s="10" t="n">
        <v>2</v>
      </c>
      <c r="B6" s="11" t="s">
        <v>773</v>
      </c>
      <c r="C6" s="84" t="str">
        <f aca="false">IFERROR(IF(AND(COUNTA(RawMaterials!$A$2:$A$11)=10,SUMPRODUCT(--(COUNTIF(RawMaterials!$A$2:$A$11,RawMaterials!$A$2:$A$11)&gt;1))=0),"PASS","FAIL"),"FAIL")</f>
        <v>PASS</v>
      </c>
      <c r="D6" s="29" t="n">
        <f aca="false">COUNTA(RawMaterials!$A$2:$A$11)</f>
        <v>10</v>
      </c>
    </row>
    <row r="7" customFormat="false" ht="18" hidden="false" customHeight="true" outlineLevel="0" collapsed="false">
      <c r="A7" s="10" t="n">
        <v>3</v>
      </c>
      <c r="B7" s="11" t="s">
        <v>774</v>
      </c>
      <c r="C7" s="84" t="str">
        <f aca="false">IFERROR(IF(AND(COUNTA(Suppliers!$A$2:$A$11)=10,SUMPRODUCT(--(COUNTIF(Suppliers!$A$2:$A$11,Suppliers!$A$2:$A$11)&gt;1))=0),"PASS","FAIL"),"FAIL")</f>
        <v>PASS</v>
      </c>
      <c r="D7" s="29" t="n">
        <f aca="false">COUNTA(Suppliers!$A$2:$A$11)</f>
        <v>10</v>
      </c>
    </row>
    <row r="8" customFormat="false" ht="18" hidden="false" customHeight="true" outlineLevel="0" collapsed="false">
      <c r="A8" s="10" t="n">
        <v>4</v>
      </c>
      <c r="B8" s="11" t="s">
        <v>775</v>
      </c>
      <c r="C8" s="84" t="str">
        <f aca="false">IFERROR(IF(AND(COUNTA(WorkCentres!$A$2:$A$10)=9,SUMPRODUCT(--(COUNTIF(WorkCentres!$A$2:$A$10,WorkCentres!$A$2:$A$10)&gt;1))=0),"PASS","FAIL"),"FAIL")</f>
        <v>PASS</v>
      </c>
      <c r="D8" s="29" t="n">
        <f aca="false">COUNTA(WorkCentres!$A$2:$A$10)</f>
        <v>9</v>
      </c>
    </row>
    <row r="9" customFormat="false" ht="18" hidden="false" customHeight="true" outlineLevel="0" collapsed="false">
      <c r="A9" s="10" t="n">
        <v>5</v>
      </c>
      <c r="B9" s="11" t="s">
        <v>776</v>
      </c>
      <c r="C9" s="84" t="str">
        <f aca="false">IFERROR(IF(MIN(RawMaterials!$Q$2:$Q$11)&gt;=1,"PASS","FAIL"),"FAIL")</f>
        <v>PASS</v>
      </c>
      <c r="D9" s="29" t="n">
        <f aca="false">MIN(RawMaterials!$Q$2:$Q$11)</f>
        <v>1</v>
      </c>
    </row>
    <row r="10" customFormat="false" ht="18" hidden="false" customHeight="true" outlineLevel="0" collapsed="false">
      <c r="A10" s="10" t="n">
        <v>6</v>
      </c>
      <c r="B10" s="11" t="s">
        <v>777</v>
      </c>
      <c r="C10" s="84" t="str">
        <f aca="false">IFERROR(IF(MIN(Suppliers!$N$2:$N$11)&gt;=1,"PASS","FAIL"),"FAIL")</f>
        <v>PASS</v>
      </c>
      <c r="D10" s="29" t="n">
        <f aca="false">MIN(Suppliers!$N$2:$N$11)</f>
        <v>1</v>
      </c>
    </row>
    <row r="11" customFormat="false" ht="18" hidden="false" customHeight="true" outlineLevel="0" collapsed="false">
      <c r="A11" s="10" t="n">
        <v>7</v>
      </c>
      <c r="B11" s="11" t="s">
        <v>778</v>
      </c>
      <c r="C11" s="84" t="str">
        <f aca="false">IFERROR(IF(SUMPRODUCT(--(ABS(RawMaterials!$T$2:$T$11-1)&gt;0.00001))=0,"PASS","FAIL"),"FAIL")</f>
        <v>PASS</v>
      </c>
      <c r="D11" s="96" t="n">
        <f aca="false">MAX(RawMaterials!$T$2:$T$11)-MIN(RawMaterials!$T$2:$T$11)</f>
        <v>0</v>
      </c>
    </row>
    <row r="12" customFormat="false" ht="18" hidden="false" customHeight="true" outlineLevel="0" collapsed="false">
      <c r="A12" s="10" t="n">
        <v>8</v>
      </c>
      <c r="B12" s="11" t="s">
        <v>779</v>
      </c>
      <c r="C12" s="84" t="str">
        <f aca="false">IFERROR(IF(SUMPRODUCT((BOM!$B$2:$B$400&lt;&gt;"")*(ISNA(MATCH(BOM!$B$2:$B$400,Products!$A$2:$A$16,0))+ISNA(MATCH(BOM!$E$2:$E$400,RawMaterials!$A$2:$A$11,0))))=0,"PASS","FAIL"),"FAIL")</f>
        <v>PASS</v>
      </c>
      <c r="D12" s="29" t="n">
        <f aca="false">COUNTA(BOM!$B$2:$B$400)</f>
        <v>102</v>
      </c>
    </row>
    <row r="13" customFormat="false" ht="18" hidden="false" customHeight="true" outlineLevel="0" collapsed="false">
      <c r="A13" s="10" t="n">
        <v>9</v>
      </c>
      <c r="B13" s="11" t="s">
        <v>780</v>
      </c>
      <c r="C13" s="84" t="str">
        <f aca="false">IFERROR(IF(SUMPRODUCT(--(COUNTIF(BOM!$B$2:$B$400,Products!$A$2:$A$16)=0))=0,"PASS","FAIL"),"FAIL")</f>
        <v>PASS</v>
      </c>
      <c r="D13" s="29" t="n">
        <f aca="false">MIN(BOM_Matrix!$N$6:$N$20)</f>
        <v>4</v>
      </c>
    </row>
    <row r="14" customFormat="false" ht="18" hidden="false" customHeight="true" outlineLevel="0" collapsed="false">
      <c r="A14" s="10" t="n">
        <v>10</v>
      </c>
      <c r="B14" s="11" t="s">
        <v>781</v>
      </c>
      <c r="C14" s="84" t="str">
        <f aca="false">IFERROR(IF(SUMPRODUCT((Sourcing!$B$2:$B$60&lt;&gt;"")*(ISNA(MATCH(Sourcing!$B$2:$B$60,RawMaterials!$A$2:$A$11,0))+ISNA(MATCH(Sourcing!$D$2:$D$60,Suppliers!$A$2:$A$11,0))))=0,"PASS","FAIL"),"FAIL")</f>
        <v>PASS</v>
      </c>
      <c r="D14" s="29" t="n">
        <f aca="false">COUNTA(Sourcing!$A$2:$A$60)</f>
        <v>18</v>
      </c>
    </row>
    <row r="15" customFormat="false" ht="18" hidden="false" customHeight="true" outlineLevel="0" collapsed="false">
      <c r="A15" s="10" t="n">
        <v>11</v>
      </c>
      <c r="B15" s="11" t="s">
        <v>782</v>
      </c>
      <c r="C15" s="84" t="str">
        <f aca="false">IFERROR(IF(AND(MIN(RawMaterials!$I$2:$I$11)&gt;0,MAX(RawMaterials!$I$2:$I$11)&lt;=1),"PASS","FAIL"),"FAIL")</f>
        <v>PASS</v>
      </c>
      <c r="D15" s="66" t="n">
        <f aca="false">MIN(RawMaterials!$I$2:$I$11)</f>
        <v>0.7</v>
      </c>
    </row>
    <row r="16" customFormat="false" ht="18" hidden="false" customHeight="true" outlineLevel="0" collapsed="false">
      <c r="A16" s="10" t="n">
        <v>12</v>
      </c>
      <c r="B16" s="11" t="s">
        <v>783</v>
      </c>
      <c r="C16" s="84" t="str">
        <f aca="false">IFERROR(IF(SUMPRODUCT(--(ABS(Demand_Plan!$D$6:$D$20-1)&gt;0.005))=0,"PASS","FAIL"),"FAIL")</f>
        <v>PASS</v>
      </c>
      <c r="D16" s="60" t="n">
        <f aca="false">MAX(Demand_Plan!$D$6:$D$20)-MIN(Demand_Plan!$D$6:$D$20)</f>
        <v>0</v>
      </c>
    </row>
    <row r="17" customFormat="false" ht="18" hidden="false" customHeight="true" outlineLevel="0" collapsed="false">
      <c r="A17" s="10" t="n">
        <v>13</v>
      </c>
      <c r="B17" s="11" t="s">
        <v>784</v>
      </c>
      <c r="C17" s="84" t="str">
        <f aca="false">IFERROR(IF(SUMPRODUCT(--(Products!$A$2:$A$16&lt;&gt;Demand_Plan!$A$24:$A$38))+SUMPRODUCT(--(Products!$A$2:$A$16&lt;&gt;BOM_Matrix!$A$6:$A$20))+SUMPRODUCT(--(Products!$A$2:$A$16&lt;&gt;BOM_Matrix!$A$26:$A$40))+SUMPRODUCT(--(Products!$A$2:$A$16&lt;&gt;Routing!$A$6:$A$20))=0,"PASS","FAIL"),"FAIL")</f>
        <v>PASS</v>
      </c>
      <c r="D17" s="97" t="str">
        <f aca="false">"15 rows compared"</f>
        <v>15 rows compared</v>
      </c>
    </row>
    <row r="18" customFormat="false" ht="18" hidden="false" customHeight="true" outlineLevel="0" collapsed="false">
      <c r="A18" s="10" t="n">
        <v>14</v>
      </c>
      <c r="B18" s="11" t="s">
        <v>785</v>
      </c>
      <c r="C18" s="84" t="str">
        <f aca="false">IFERROR(IF(AND(AND(Routing!C4=WorkCentres!$A$2,Routing!D4=WorkCentres!$A$3,Routing!E4=WorkCentres!$A$4,Routing!F4=WorkCentres!$A$5,Routing!G4=WorkCentres!$A$6,Routing!H4=WorkCentres!$A$7,Routing!I4=WorkCentres!$A$8,Routing!J4=WorkCentres!$A$9,Routing!K4=WorkCentres!$A$10),SUMPRODUCT(--(WorkCentres!$A$2:$A$10&lt;&gt;Capacity!$A$5:$A$13))=0),"PASS","FAIL"),"FAIL")</f>
        <v>PASS</v>
      </c>
      <c r="D18" s="97" t="str">
        <f aca="false">"9 centres compared"</f>
        <v>9 centres compared</v>
      </c>
    </row>
    <row r="19" customFormat="false" ht="18" hidden="false" customHeight="true" outlineLevel="0" collapsed="false">
      <c r="A19" s="10" t="n">
        <v>15</v>
      </c>
      <c r="B19" s="11" t="s">
        <v>786</v>
      </c>
      <c r="C19" s="84" t="str">
        <f aca="false">IFERROR(IF(AND(AND(BOM_Matrix!C5=RawMaterials!$A$2,BOM_Matrix!D5=RawMaterials!$A$3,BOM_Matrix!E5=RawMaterials!$A$4,BOM_Matrix!F5=RawMaterials!$A$5,BOM_Matrix!G5=RawMaterials!$A$6,BOM_Matrix!H5=RawMaterials!$A$7,BOM_Matrix!I5=RawMaterials!$A$8,BOM_Matrix!J5=RawMaterials!$A$9,BOM_Matrix!K5=RawMaterials!$A$10,BOM_Matrix!L5=RawMaterials!$A$11),AND(BOM_Matrix!C25=RawMaterials!$A$2,BOM_Matrix!D25=RawMaterials!$A$3,BOM_Matrix!E25=RawMaterials!$A$4,BOM_Matrix!F25=RawMaterials!$A$5,BOM_Matrix!G25=RawMaterials!$A$6,BOM_Matrix!H25=RawMaterials!$A$7,BOM_Matrix!I25=RawMaterials!$A$8,BOM_Matrix!J25=RawMaterials!$A$9,BOM_Matrix!K25=RawMaterials!$A$10,BOM_Matrix!L25=RawMaterials!$A$11),AND(Spend!C4=RawMaterials!$A$2,Spend!D4=RawMaterials!$A$3,Spend!E4=RawMaterials!$A$4,Spend!F4=RawMaterials!$A$5,Spend!G4=RawMaterials!$A$6,Spend!H4=RawMaterials!$A$7,Spend!I4=RawMaterials!$A$8,Spend!J4=RawMaterials!$A$9,Spend!K4=RawMaterials!$A$10,Spend!L4=RawMaterials!$A$11),SUMPRODUCT(--(RawMaterials!$A$2:$A$11&lt;&gt;MRP!$A$5:$A$14))=0),"PASS","FAIL"),"FAIL")</f>
        <v>PASS</v>
      </c>
      <c r="D19" s="97" t="str">
        <f aca="false">"10 materials compared"</f>
        <v>10 materials compared</v>
      </c>
    </row>
    <row r="20" customFormat="false" ht="18" hidden="false" customHeight="true" outlineLevel="0" collapsed="false">
      <c r="A20" s="10" t="n">
        <v>16</v>
      </c>
      <c r="B20" s="11" t="s">
        <v>787</v>
      </c>
      <c r="C20" s="84" t="str">
        <f aca="false">IFERROR(IF(ABS(SUM(BOM_Matrix!$C$26:$L$40)-SUM(BOM!$I$2:$I$400))&lt;0.001,"PASS","FAIL"),"FAIL")</f>
        <v>PASS</v>
      </c>
      <c r="D20" s="96" t="n">
        <f aca="false">SUM(BOM_Matrix!$C$26:$L$40)-SUM(BOM!$I$2:$I$400)</f>
        <v>0</v>
      </c>
    </row>
    <row r="21" customFormat="false" ht="18" hidden="false" customHeight="true" outlineLevel="0" collapsed="false">
      <c r="A21" s="10" t="n">
        <v>17</v>
      </c>
      <c r="B21" s="11" t="s">
        <v>788</v>
      </c>
      <c r="C21" s="84" t="str">
        <f aca="false">IFERROR(IF(ABS(SUM(BOM_Matrix!$C$45:$L$59)-SUM(BOM!$K$2:$K$400))&lt;0.01,"PASS","FAIL"),"FAIL")</f>
        <v>PASS</v>
      </c>
      <c r="D21" s="96" t="n">
        <f aca="false">SUM(BOM_Matrix!$C$45:$L$59)-SUM(BOM!$K$2:$K$400)</f>
        <v>0</v>
      </c>
    </row>
    <row r="22" customFormat="false" ht="18" hidden="false" customHeight="true" outlineLevel="0" collapsed="false">
      <c r="A22" s="10" t="n">
        <v>18</v>
      </c>
      <c r="B22" s="11" t="s">
        <v>789</v>
      </c>
      <c r="C22" s="84" t="str">
        <f aca="false">IFERROR(IF(SUMPRODUCT(--(ABS(BOM_Matrix!$L$64:$L$78)&gt;0.001))=0,"PASS","FAIL"),"FAIL")</f>
        <v>PASS</v>
      </c>
      <c r="D22" s="96" t="n">
        <f aca="false">MAX(BOM_Matrix!$L$64:$L$78)</f>
        <v>0</v>
      </c>
    </row>
    <row r="23" customFormat="false" ht="18" hidden="false" customHeight="true" outlineLevel="0" collapsed="false">
      <c r="A23" s="10" t="n">
        <v>19</v>
      </c>
      <c r="B23" s="11" t="s">
        <v>790</v>
      </c>
      <c r="C23" s="84" t="str">
        <f aca="false">IFERROR(IF(SUMPRODUCT(--(ABS(Products!$L$2:$L$16-BOM_Matrix!$M$45:$M$59)&gt;0.001))=0,"PASS","FAIL"),"FAIL")</f>
        <v>PASS</v>
      </c>
      <c r="D23" s="96" t="n">
        <f aca="false">SUMPRODUCT(Products!$L$2:$L$16-BOM_Matrix!$M$45:$M$59)</f>
        <v>0</v>
      </c>
    </row>
    <row r="24" customFormat="false" ht="18" hidden="false" customHeight="true" outlineLevel="0" collapsed="false">
      <c r="A24" s="10" t="n">
        <v>20</v>
      </c>
      <c r="B24" s="11" t="s">
        <v>791</v>
      </c>
      <c r="C24" s="84" t="str">
        <f aca="false">IFERROR(IF(ABS(SUM(MRP!$P$5:$P$14)-SUMPRODUCT(Demand_Plan!$Q$24:$Q$38,BOM_Matrix!$M$26:$M$40))&lt;0.5,"PASS","FAIL"),"FAIL")</f>
        <v>PASS</v>
      </c>
      <c r="D24" s="60" t="n">
        <f aca="false">SUM(MRP!$P$5:$P$14)-SUMPRODUCT(Demand_Plan!$Q$24:$Q$38,BOM_Matrix!$M$26:$M$40)</f>
        <v>0</v>
      </c>
    </row>
    <row r="25" customFormat="false" ht="18" hidden="false" customHeight="true" outlineLevel="0" collapsed="false">
      <c r="A25" s="10" t="n">
        <v>21</v>
      </c>
      <c r="B25" s="11" t="s">
        <v>792</v>
      </c>
      <c r="C25" s="84" t="str">
        <f aca="false">IFERROR(IF(ABS(SUM(Sourcing!$N$2:$N$60)-SUM(MRP!$P$5:$P$14))&lt;0.5,"PASS","FAIL"),"FAIL")</f>
        <v>PASS</v>
      </c>
      <c r="D25" s="60" t="n">
        <f aca="false">SUM(Sourcing!$N$2:$N$60)-SUM(MRP!$P$5:$P$14)</f>
        <v>0</v>
      </c>
    </row>
    <row r="26" customFormat="false" ht="18" hidden="false" customHeight="true" outlineLevel="0" collapsed="false">
      <c r="A26" s="10" t="n">
        <v>22</v>
      </c>
      <c r="B26" s="11" t="s">
        <v>793</v>
      </c>
      <c r="C26" s="84" t="str">
        <f aca="false">IFERROR(IF(ABS(Spend!$M$15-SUMPRODUCT(MRP!$P$5:$P$14,RawMaterials!$G$2:$G$11)/Assumptions!$B$20)&lt;0.01,"PASS","FAIL"),"FAIL")</f>
        <v>PASS</v>
      </c>
      <c r="D26" s="96" t="n">
        <f aca="false">Spend!$M$15-SUMPRODUCT(MRP!$P$5:$P$14,RawMaterials!$G$2:$G$11)/Assumptions!$B$20</f>
        <v>0</v>
      </c>
    </row>
    <row r="27" customFormat="false" ht="18" hidden="false" customHeight="true" outlineLevel="0" collapsed="false">
      <c r="A27" s="10" t="n">
        <v>23</v>
      </c>
      <c r="B27" s="11" t="s">
        <v>794</v>
      </c>
      <c r="C27" s="84" t="str">
        <f aca="false">IFERROR(IF(ABS(SUM(Suppliers!$Q$2:$Q$11)-Spend!$M$15)&lt;0.01,"PASS","FAIL"),"FAIL")</f>
        <v>PASS</v>
      </c>
      <c r="D27" s="96" t="n">
        <f aca="false">SUM(Suppliers!$Q$2:$Q$11)-Spend!$M$15</f>
        <v>0</v>
      </c>
    </row>
    <row r="28" customFormat="false" ht="18" hidden="false" customHeight="true" outlineLevel="0" collapsed="false">
      <c r="A28" s="10" t="n">
        <v>24</v>
      </c>
      <c r="B28" s="11" t="s">
        <v>795</v>
      </c>
      <c r="C28" s="84" t="str">
        <f aca="false">IFERROR(IF(ABS(MRP!$P$29-Spend!$M$15)&lt;0.01,"PASS","FAIL"),"FAIL")</f>
        <v>PASS</v>
      </c>
      <c r="D28" s="96" t="n">
        <f aca="false">MRP!$P$29-Spend!$M$15</f>
        <v>0</v>
      </c>
    </row>
    <row r="29" customFormat="false" ht="18" hidden="false" customHeight="true" outlineLevel="0" collapsed="false">
      <c r="A29" s="10" t="n">
        <v>25</v>
      </c>
      <c r="B29" s="11" t="s">
        <v>796</v>
      </c>
      <c r="C29" s="84" t="str">
        <f aca="false">IFERROR(IF(ABS(Products!$S$18-Demand_Plan!$Q$40)&lt;0.01,"PASS","FAIL"),"FAIL")</f>
        <v>PASS</v>
      </c>
      <c r="D29" s="96" t="n">
        <f aca="false">Products!$S$18-Demand_Plan!$Q$40</f>
        <v>0</v>
      </c>
    </row>
    <row r="30" customFormat="false" ht="18" hidden="false" customHeight="true" outlineLevel="0" collapsed="false">
      <c r="A30" s="10" t="n">
        <v>26</v>
      </c>
      <c r="B30" s="11" t="s">
        <v>797</v>
      </c>
      <c r="C30" s="84" t="str">
        <f aca="false">IFERROR(IF(ABS(Demand_Plan!$Q$47-Demand_Plan!$Q$40)&lt;0.01,"PASS","FAIL"),"FAIL")</f>
        <v>PASS</v>
      </c>
      <c r="D30" s="96" t="n">
        <f aca="false">Demand_Plan!$Q$47-Demand_Plan!$Q$40</f>
        <v>0</v>
      </c>
    </row>
    <row r="31" customFormat="false" ht="18" hidden="false" customHeight="true" outlineLevel="0" collapsed="false">
      <c r="A31" s="10" t="n">
        <v>27</v>
      </c>
      <c r="B31" s="11" t="s">
        <v>798</v>
      </c>
      <c r="C31" s="84" t="str">
        <f aca="false">IFERROR(IF(ABS(SUM(Capacity!$E$14:$P$14)-SUMPRODUCT(Demand_Plan!$Q$24:$Q$38,Routing!$L$6:$L$20)/60)&lt;0.01,"PASS","FAIL"),"FAIL")</f>
        <v>PASS</v>
      </c>
      <c r="D31" s="96" t="n">
        <f aca="false">SUM(Capacity!$E$14:$P$14)-SUMPRODUCT(Demand_Plan!$Q$24:$Q$38,Routing!$L$6:$L$20)/60</f>
        <v>0</v>
      </c>
    </row>
    <row r="32" customFormat="false" ht="18" hidden="false" customHeight="true" outlineLevel="0" collapsed="false">
      <c r="A32" s="10" t="n">
        <v>28</v>
      </c>
      <c r="B32" s="11" t="s">
        <v>799</v>
      </c>
      <c r="C32" s="84" t="str">
        <f aca="false">IFERROR(IF(ABS(SUM(Routing!$L$25:$L$39)-SUMPRODUCT(Routing!$C$6:$K$20*Routing!$C$5:$K$5)/60)&lt;0.001,"PASS","FAIL"),"FAIL")</f>
        <v>PASS</v>
      </c>
      <c r="D32" s="96" t="n">
        <f aca="false">SUM(Routing!$L$25:$L$39)-SUMPRODUCT(Routing!$C$6:$K$20*Routing!$C$5:$K$5)/60</f>
        <v>0</v>
      </c>
    </row>
    <row r="33" customFormat="false" ht="18" hidden="false" customHeight="true" outlineLevel="0" collapsed="false">
      <c r="A33" s="10" t="n">
        <v>29</v>
      </c>
      <c r="B33" s="11" t="s">
        <v>800</v>
      </c>
      <c r="C33" s="84" t="str">
        <f aca="false">IFERROR(IF(AND(MIN(Routing!$M$6:$M$20)&gt;0,SUMPRODUCT(--(((Routing!$H$6:$H$20&gt;0)+(Routing!$I$6:$I$20&gt;0)+(Routing!$J$6:$J$20&gt;0))&lt;&gt;1))=0),"PASS","FAIL"),"FAIL")</f>
        <v>PASS</v>
      </c>
      <c r="D33" s="66" t="n">
        <f aca="false">MIN(Routing!$M$6:$M$20)</f>
        <v>2</v>
      </c>
    </row>
    <row r="34" customFormat="false" ht="18" hidden="false" customHeight="true" outlineLevel="0" collapsed="false">
      <c r="A34" s="10" t="n">
        <v>30</v>
      </c>
      <c r="B34" s="11" t="s">
        <v>801</v>
      </c>
      <c r="C34" s="84" t="str">
        <f aca="false">IFERROR(IF(MIN(Products!$Q$2:$Q$16)&gt;0,"PASS","FAIL"),"FAIL")</f>
        <v>PASS</v>
      </c>
      <c r="D34" s="32" t="n">
        <f aca="false">MIN(Products!$Q$2:$Q$16)</f>
        <v>0.259502912355158</v>
      </c>
    </row>
    <row r="35" customFormat="false" ht="18" hidden="false" customHeight="true" outlineLevel="0" collapsed="false">
      <c r="A35" s="10" t="n">
        <v>31</v>
      </c>
      <c r="B35" s="11" t="s">
        <v>802</v>
      </c>
      <c r="C35" s="84" t="str">
        <f aca="false">IFERROR(IF(MAX(Capacity!$Q$18:$Q$26)&lt;=1,"PASS","FAIL"),"FAIL")</f>
        <v>PASS</v>
      </c>
      <c r="D35" s="32" t="n">
        <f aca="false">MAX(Capacity!$Q$18:$Q$26)</f>
        <v>0.759108753900421</v>
      </c>
    </row>
    <row r="36" customFormat="false" ht="18" hidden="false" customHeight="true" outlineLevel="0" collapsed="false">
      <c r="A36" s="10" t="n">
        <v>32</v>
      </c>
      <c r="B36" s="11" t="s">
        <v>803</v>
      </c>
      <c r="C36" s="84" t="str">
        <f aca="false">IFERROR(IF(AND(ABS(MAX(Inventory!$V$5:$V$14)-1)&lt;0.000001,MIN(Inventory!$H$5:$H$14)&gt;0),"PASS","FAIL"),"FAIL")</f>
        <v>PASS</v>
      </c>
      <c r="D36" s="32" t="n">
        <f aca="false">MAX(Inventory!$V$5:$V$14)</f>
        <v>1</v>
      </c>
    </row>
    <row r="37" customFormat="false" ht="18" hidden="false" customHeight="true" outlineLevel="0" collapsed="false">
      <c r="A37" s="10" t="n">
        <v>33</v>
      </c>
      <c r="B37" s="11" t="s">
        <v>804</v>
      </c>
      <c r="C37" s="84" t="str">
        <f aca="false">IFERROR(IF(AND(MIN(Suppliers!$H$2:$H$11)&gt;0,MAX(Suppliers!$H$2:$H$11)&lt;=1,MIN(Suppliers!$J$2:$J$11)&gt;=0,MAX(Suppliers!$J$2:$J$11)&lt;=1,MIN(Suppliers!$L$2:$L$11)&gt;=0,MAX(Suppliers!$L$2:$L$11)&lt;=100),"PASS","FAIL"),"FAIL")</f>
        <v>PASS</v>
      </c>
      <c r="D37" s="32" t="n">
        <f aca="false">MIN(Suppliers!$H$2:$H$11)</f>
        <v>0.86</v>
      </c>
    </row>
    <row r="39" customFormat="false" ht="15" hidden="false" customHeight="false" outlineLevel="0" collapsed="false">
      <c r="A39" s="27" t="s">
        <v>805</v>
      </c>
    </row>
  </sheetData>
  <conditionalFormatting sqref="C5:C37">
    <cfRule type="expression" priority="2" aboveAverage="0" equalAverage="0" bottom="0" percent="0" rank="0" text="" dxfId="14">
      <formula>C5="PASS"</formula>
    </cfRule>
    <cfRule type="expression" priority="3" aboveAverage="0" equalAverage="0" bottom="0" percent="0" rank="0" text="" dxfId="1">
      <formula>C5="FAIL"</formula>
    </cfRule>
  </conditionalFormatting>
  <conditionalFormatting sqref="B3">
    <cfRule type="expression" priority="4" aboveAverage="0" equalAverage="0" bottom="0" percent="0" rank="0" text="" dxfId="1">
      <formula>ISNUMBER(SEARCH("FAILING",B3))</formula>
    </cfRule>
    <cfRule type="expression" priority="5" aboveAverage="0" equalAverage="0" bottom="0" percent="0" rank="0" text="" dxfId="14">
      <formula>ISNUMBER(SEARCH("PASS",B3))</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2026-10-20T18:02:55Z</dcterms:created>
  <dc:creator>Claude</dc:creator>
  <dc:description/>
  <dc:language>en-US</dc:language>
  <cp:lastModifiedBy/>
  <dcterms:modified xsi:type="dcterms:W3CDTF">2026-10-20T18:02:57Z</dcterms:modified>
  <cp:revision>1</cp:revision>
  <dc:subject>Fictional home-appliance plant: 15 products, 10 raw materials, 10 suppliers</dc:subject>
  <dc:title>Manufacturing Plant Operating Model</dc:title>
</cp:coreProperties>
</file>

<file path=docProps/custom.xml><?xml version="1.0" encoding="utf-8"?>
<Properties xmlns="http://schemas.openxmlformats.org/officeDocument/2006/custom-properties" xmlns:vt="http://schemas.openxmlformats.org/officeDocument/2006/docPropsVTypes"/>
</file>